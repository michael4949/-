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用说明与评分口径" sheetId="1" state="visible" r:id="rId3"/>
    <sheet name="AI高价值场景排序" sheetId="2" state="visible" r:id="rId4"/>
    <sheet name="Top40 快赢清单" sheetId="3" state="visible" r:id="rId5"/>
    <sheet name="分单位价值分布" sheetId="4" state="visible" r:id="rId6"/>
    <sheet name="组织架构与岗位全景" sheetId="5" state="visible" r:id="rId7"/>
  </sheets>
  <definedNames>
    <definedName function="false" hidden="true" localSheetId="1" name="_xlnm._FilterDatabase" vbProcedure="false">AI高价值场景排序!$A$1:$S$181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<sst xmlns="http://schemas.openxmlformats.org/spreadsheetml/2006/main" count="2705" uniqueCount="981">
  <si>
    <r>
      <rPr>
        <b val="true"/>
        <sz val="14"/>
        <color rgb="FF1F3864"/>
        <rFont val="Noto Sans CJK SC"/>
        <family val="2"/>
      </rPr>
      <t xml:space="preserve">广西电网公司 </t>
    </r>
    <r>
      <rPr>
        <b val="true"/>
        <sz val="14"/>
        <color rgb="FF1F3864"/>
        <rFont val="Arial"/>
        <family val="0"/>
        <charset val="1"/>
      </rPr>
      <t xml:space="preserve">AI </t>
    </r>
    <r>
      <rPr>
        <b val="true"/>
        <sz val="14"/>
        <color rgb="FF1F3864"/>
        <rFont val="Noto Sans CJK SC"/>
        <family val="2"/>
      </rPr>
      <t xml:space="preserve">高价值场景评估表 — 使用说明与评分口径</t>
    </r>
  </si>
  <si>
    <t xml:space="preserve">一、覆盖范围</t>
  </si>
  <si>
    <t xml:space="preserve">组织层级</t>
  </si>
  <si>
    <r>
      <rPr>
        <sz val="10"/>
        <rFont val="Noto Sans CJK SC"/>
        <family val="2"/>
      </rPr>
      <t xml:space="preserve">省公司本部职能部门 </t>
    </r>
    <r>
      <rPr>
        <sz val="10"/>
        <rFont val="Arial"/>
        <family val="0"/>
        <charset val="1"/>
      </rPr>
      <t xml:space="preserve">+ </t>
    </r>
    <r>
      <rPr>
        <sz val="10"/>
        <rFont val="Noto Sans CJK SC"/>
        <family val="2"/>
      </rPr>
      <t xml:space="preserve">直属机构（调度</t>
    </r>
    <r>
      <rPr>
        <sz val="10"/>
        <rFont val="Arial"/>
        <family val="0"/>
        <charset val="1"/>
      </rPr>
      <t xml:space="preserve">/</t>
    </r>
    <r>
      <rPr>
        <sz val="10"/>
        <rFont val="Noto Sans CJK SC"/>
        <family val="2"/>
      </rPr>
      <t xml:space="preserve">交易</t>
    </r>
    <r>
      <rPr>
        <sz val="10"/>
        <rFont val="Arial"/>
        <family val="0"/>
        <charset val="1"/>
      </rPr>
      <t xml:space="preserve">/</t>
    </r>
    <r>
      <rPr>
        <sz val="10"/>
        <rFont val="Noto Sans CJK SC"/>
        <family val="2"/>
      </rPr>
      <t xml:space="preserve">计量</t>
    </r>
    <r>
      <rPr>
        <sz val="10"/>
        <rFont val="Arial"/>
        <family val="0"/>
        <charset val="1"/>
      </rPr>
      <t xml:space="preserve">/</t>
    </r>
    <r>
      <rPr>
        <sz val="10"/>
        <rFont val="Noto Sans CJK SC"/>
        <family val="2"/>
      </rPr>
      <t xml:space="preserve">客服</t>
    </r>
    <r>
      <rPr>
        <sz val="10"/>
        <rFont val="Arial"/>
        <family val="0"/>
        <charset val="1"/>
      </rPr>
      <t xml:space="preserve">/</t>
    </r>
    <r>
      <rPr>
        <sz val="10"/>
        <rFont val="Noto Sans CJK SC"/>
        <family val="2"/>
      </rPr>
      <t xml:space="preserve">电科院</t>
    </r>
    <r>
      <rPr>
        <sz val="10"/>
        <rFont val="Arial"/>
        <family val="0"/>
        <charset val="1"/>
      </rPr>
      <t xml:space="preserve">/</t>
    </r>
    <r>
      <rPr>
        <sz val="10"/>
        <rFont val="Noto Sans CJK SC"/>
        <family val="2"/>
      </rPr>
      <t xml:space="preserve">培训） </t>
    </r>
    <r>
      <rPr>
        <sz val="10"/>
        <rFont val="Arial"/>
        <family val="0"/>
        <charset val="1"/>
      </rPr>
      <t xml:space="preserve">+ </t>
    </r>
    <r>
      <rPr>
        <sz val="10"/>
        <rFont val="Noto Sans CJK SC"/>
        <family val="2"/>
      </rPr>
      <t xml:space="preserve">地市供电局 </t>
    </r>
    <r>
      <rPr>
        <sz val="10"/>
        <rFont val="Arial"/>
        <family val="0"/>
        <charset val="1"/>
      </rPr>
      <t xml:space="preserve">+ </t>
    </r>
    <r>
      <rPr>
        <sz val="10"/>
        <rFont val="Noto Sans CJK SC"/>
        <family val="2"/>
      </rPr>
      <t xml:space="preserve">县域新电力 </t>
    </r>
    <r>
      <rPr>
        <sz val="10"/>
        <rFont val="Arial"/>
        <family val="0"/>
        <charset val="1"/>
      </rPr>
      <t xml:space="preserve">+ </t>
    </r>
    <r>
      <rPr>
        <sz val="10"/>
        <rFont val="Noto Sans CJK SC"/>
        <family val="2"/>
      </rPr>
      <t xml:space="preserve">产业公司</t>
    </r>
  </si>
  <si>
    <t xml:space="preserve">场景总数</t>
  </si>
  <si>
    <r>
      <rPr>
        <sz val="10"/>
        <rFont val="Arial"/>
        <family val="0"/>
        <charset val="1"/>
      </rPr>
      <t xml:space="preserve">180 </t>
    </r>
    <r>
      <rPr>
        <sz val="10"/>
        <rFont val="Noto Sans CJK SC"/>
        <family val="2"/>
      </rPr>
      <t xml:space="preserve">个工作场景，覆盖 </t>
    </r>
    <r>
      <rPr>
        <sz val="10"/>
        <rFont val="Arial"/>
        <family val="0"/>
        <charset val="1"/>
      </rPr>
      <t xml:space="preserve">28 </t>
    </r>
    <r>
      <rPr>
        <sz val="10"/>
        <rFont val="Noto Sans CJK SC"/>
        <family val="2"/>
      </rPr>
      <t xml:space="preserve">个一级单位</t>
    </r>
  </si>
  <si>
    <t xml:space="preserve">场景颗粒度</t>
  </si>
  <si>
    <t xml:space="preserve">以“岗位日常产出物”为单位，可直接对应一次立项或一个功能模块</t>
  </si>
  <si>
    <r>
      <rPr>
        <b val="true"/>
        <sz val="11"/>
        <color rgb="FF1F3864"/>
        <rFont val="Noto Sans CJK SC"/>
        <family val="2"/>
      </rPr>
      <t xml:space="preserve">二、五个维度的计分规则（均为 </t>
    </r>
    <r>
      <rPr>
        <b val="true"/>
        <sz val="11"/>
        <color rgb="FF1F3864"/>
        <rFont val="Arial"/>
        <family val="0"/>
        <charset val="1"/>
      </rPr>
      <t xml:space="preserve">1-5 </t>
    </r>
    <r>
      <rPr>
        <b val="true"/>
        <sz val="11"/>
        <color rgb="FF1F3864"/>
        <rFont val="Noto Sans CJK SC"/>
        <family val="2"/>
      </rPr>
      <t xml:space="preserve">分，分值越高越有利于 </t>
    </r>
    <r>
      <rPr>
        <b val="true"/>
        <sz val="11"/>
        <color rgb="FF1F3864"/>
        <rFont val="Arial"/>
        <family val="0"/>
        <charset val="1"/>
      </rPr>
      <t xml:space="preserve">AI </t>
    </r>
    <r>
      <rPr>
        <b val="true"/>
        <sz val="11"/>
        <color rgb="FF1F3864"/>
        <rFont val="Noto Sans CJK SC"/>
        <family val="2"/>
      </rPr>
      <t xml:space="preserve">落地）</t>
    </r>
  </si>
  <si>
    <t xml:space="preserve">维度</t>
  </si>
  <si>
    <t xml:space="preserve">权重</t>
  </si>
  <si>
    <r>
      <rPr>
        <b val="true"/>
        <sz val="10"/>
        <color rgb="FFFFFFFF"/>
        <rFont val="Arial"/>
        <family val="0"/>
        <charset val="1"/>
      </rPr>
      <t xml:space="preserve">5 </t>
    </r>
    <r>
      <rPr>
        <b val="true"/>
        <sz val="10"/>
        <color rgb="FFFFFFFF"/>
        <rFont val="Noto Sans CJK SC"/>
        <family val="2"/>
      </rPr>
      <t xml:space="preserve">分</t>
    </r>
  </si>
  <si>
    <r>
      <rPr>
        <b val="true"/>
        <sz val="10"/>
        <color rgb="FFFFFFFF"/>
        <rFont val="Arial"/>
        <family val="0"/>
        <charset val="1"/>
      </rPr>
      <t xml:space="preserve">4 </t>
    </r>
    <r>
      <rPr>
        <b val="true"/>
        <sz val="10"/>
        <color rgb="FFFFFFFF"/>
        <rFont val="Noto Sans CJK SC"/>
        <family val="2"/>
      </rPr>
      <t xml:space="preserve">分</t>
    </r>
  </si>
  <si>
    <r>
      <rPr>
        <b val="true"/>
        <sz val="10"/>
        <color rgb="FFFFFFFF"/>
        <rFont val="Arial"/>
        <family val="0"/>
        <charset val="1"/>
      </rPr>
      <t xml:space="preserve">3 </t>
    </r>
    <r>
      <rPr>
        <b val="true"/>
        <sz val="10"/>
        <color rgb="FFFFFFFF"/>
        <rFont val="Noto Sans CJK SC"/>
        <family val="2"/>
      </rPr>
      <t xml:space="preserve">分</t>
    </r>
  </si>
  <si>
    <r>
      <rPr>
        <b val="true"/>
        <sz val="10"/>
        <color rgb="FFFFFFFF"/>
        <rFont val="Arial"/>
        <family val="0"/>
        <charset val="1"/>
      </rPr>
      <t xml:space="preserve">2 </t>
    </r>
    <r>
      <rPr>
        <b val="true"/>
        <sz val="10"/>
        <color rgb="FFFFFFFF"/>
        <rFont val="Noto Sans CJK SC"/>
        <family val="2"/>
      </rPr>
      <t xml:space="preserve">分</t>
    </r>
  </si>
  <si>
    <r>
      <rPr>
        <b val="true"/>
        <sz val="10"/>
        <color rgb="FFFFFFFF"/>
        <rFont val="Arial"/>
        <family val="0"/>
        <charset val="1"/>
      </rPr>
      <t xml:space="preserve">1 </t>
    </r>
    <r>
      <rPr>
        <b val="true"/>
        <sz val="10"/>
        <color rgb="FFFFFFFF"/>
        <rFont val="Noto Sans CJK SC"/>
        <family val="2"/>
      </rPr>
      <t xml:space="preserve">分</t>
    </r>
  </si>
  <si>
    <r>
      <rPr>
        <sz val="10"/>
        <rFont val="Noto Sans CJK SC"/>
        <family val="2"/>
      </rPr>
      <t xml:space="preserve">① 创收 </t>
    </r>
    <r>
      <rPr>
        <sz val="10"/>
        <rFont val="Arial"/>
        <family val="0"/>
        <charset val="1"/>
      </rPr>
      <t xml:space="preserve">/ </t>
    </r>
    <r>
      <rPr>
        <sz val="10"/>
        <rFont val="Noto Sans CJK SC"/>
        <family val="2"/>
      </rPr>
      <t xml:space="preserve">开支</t>
    </r>
  </si>
  <si>
    <t xml:space="preserve">25%</t>
  </si>
  <si>
    <t xml:space="preserve">直接创收</t>
  </si>
  <si>
    <r>
      <rPr>
        <sz val="10"/>
        <rFont val="Noto Sans CJK SC"/>
        <family val="2"/>
      </rPr>
      <t xml:space="preserve">直接减损</t>
    </r>
    <r>
      <rPr>
        <sz val="10"/>
        <rFont val="Arial"/>
        <family val="0"/>
        <charset val="1"/>
      </rPr>
      <t xml:space="preserve">/</t>
    </r>
    <r>
      <rPr>
        <sz val="10"/>
        <rFont val="Noto Sans CJK SC"/>
        <family val="2"/>
      </rPr>
      <t xml:space="preserve">增收回</t>
    </r>
  </si>
  <si>
    <t xml:space="preserve">降本增效</t>
  </si>
  <si>
    <t xml:space="preserve">风险合规避损</t>
  </si>
  <si>
    <t xml:space="preserve">纯支出型职能</t>
  </si>
  <si>
    <r>
      <rPr>
        <sz val="10"/>
        <rFont val="Noto Sans CJK SC"/>
        <family val="2"/>
      </rPr>
      <t xml:space="preserve">② 高频 </t>
    </r>
    <r>
      <rPr>
        <sz val="10"/>
        <rFont val="Arial"/>
        <family val="0"/>
        <charset val="1"/>
      </rPr>
      <t xml:space="preserve">/ </t>
    </r>
    <r>
      <rPr>
        <sz val="10"/>
        <rFont val="Noto Sans CJK SC"/>
        <family val="2"/>
      </rPr>
      <t xml:space="preserve">低频</t>
    </r>
  </si>
  <si>
    <r>
      <rPr>
        <sz val="10"/>
        <rFont val="Noto Sans CJK SC"/>
        <family val="2"/>
      </rPr>
      <t xml:space="preserve">每日</t>
    </r>
    <r>
      <rPr>
        <sz val="10"/>
        <rFont val="Arial"/>
        <family val="0"/>
        <charset val="1"/>
      </rPr>
      <t xml:space="preserve">/</t>
    </r>
    <r>
      <rPr>
        <sz val="10"/>
        <rFont val="Noto Sans CJK SC"/>
        <family val="2"/>
      </rPr>
      <t xml:space="preserve">实时</t>
    </r>
  </si>
  <si>
    <t xml:space="preserve">每周</t>
  </si>
  <si>
    <t xml:space="preserve">每月</t>
  </si>
  <si>
    <t xml:space="preserve">每季</t>
  </si>
  <si>
    <r>
      <rPr>
        <sz val="10"/>
        <rFont val="Noto Sans CJK SC"/>
        <family val="2"/>
      </rPr>
      <t xml:space="preserve">年度</t>
    </r>
    <r>
      <rPr>
        <sz val="10"/>
        <rFont val="Arial"/>
        <family val="0"/>
        <charset val="1"/>
      </rPr>
      <t xml:space="preserve">/</t>
    </r>
    <r>
      <rPr>
        <sz val="10"/>
        <rFont val="Noto Sans CJK SC"/>
        <family val="2"/>
      </rPr>
      <t xml:space="preserve">偶发</t>
    </r>
  </si>
  <si>
    <r>
      <rPr>
        <sz val="10"/>
        <rFont val="Noto Sans CJK SC"/>
        <family val="2"/>
      </rPr>
      <t xml:space="preserve">③ 涉密 </t>
    </r>
    <r>
      <rPr>
        <sz val="10"/>
        <rFont val="Arial"/>
        <family val="0"/>
        <charset val="1"/>
      </rPr>
      <t xml:space="preserve">/ </t>
    </r>
    <r>
      <rPr>
        <sz val="10"/>
        <rFont val="Noto Sans CJK SC"/>
        <family val="2"/>
      </rPr>
      <t xml:space="preserve">敏感</t>
    </r>
  </si>
  <si>
    <t xml:space="preserve">15%</t>
  </si>
  <si>
    <r>
      <rPr>
        <sz val="10"/>
        <rFont val="Noto Sans CJK SC"/>
        <family val="2"/>
      </rPr>
      <t xml:space="preserve">公开</t>
    </r>
    <r>
      <rPr>
        <sz val="10"/>
        <rFont val="Arial"/>
        <family val="0"/>
        <charset val="1"/>
      </rPr>
      <t xml:space="preserve">·</t>
    </r>
    <r>
      <rPr>
        <sz val="10"/>
        <rFont val="Noto Sans CJK SC"/>
        <family val="2"/>
      </rPr>
      <t xml:space="preserve">低敏感</t>
    </r>
  </si>
  <si>
    <t xml:space="preserve">一般内部</t>
  </si>
  <si>
    <t xml:space="preserve">商业敏感</t>
  </si>
  <si>
    <r>
      <rPr>
        <sz val="10"/>
        <rFont val="Noto Sans CJK SC"/>
        <family val="2"/>
      </rPr>
      <t xml:space="preserve">高敏感（客户</t>
    </r>
    <r>
      <rPr>
        <sz val="10"/>
        <rFont val="Arial"/>
        <family val="0"/>
        <charset val="1"/>
      </rPr>
      <t xml:space="preserve">/</t>
    </r>
    <r>
      <rPr>
        <sz val="10"/>
        <rFont val="Noto Sans CJK SC"/>
        <family val="2"/>
      </rPr>
      <t xml:space="preserve">财务数据）</t>
    </r>
  </si>
  <si>
    <r>
      <rPr>
        <sz val="10"/>
        <rFont val="Noto Sans CJK SC"/>
        <family val="2"/>
      </rPr>
      <t xml:space="preserve">涉密（调度控制</t>
    </r>
    <r>
      <rPr>
        <sz val="10"/>
        <rFont val="Arial"/>
        <family val="0"/>
        <charset val="1"/>
      </rPr>
      <t xml:space="preserve">/</t>
    </r>
    <r>
      <rPr>
        <sz val="10"/>
        <rFont val="Noto Sans CJK SC"/>
        <family val="2"/>
      </rPr>
      <t xml:space="preserve">纪检</t>
    </r>
    <r>
      <rPr>
        <sz val="10"/>
        <rFont val="Arial"/>
        <family val="0"/>
        <charset val="1"/>
      </rPr>
      <t xml:space="preserve">/</t>
    </r>
    <r>
      <rPr>
        <sz val="10"/>
        <rFont val="Noto Sans CJK SC"/>
        <family val="2"/>
      </rPr>
      <t xml:space="preserve">安全）</t>
    </r>
  </si>
  <si>
    <r>
      <rPr>
        <sz val="10"/>
        <rFont val="Noto Sans CJK SC"/>
        <family val="2"/>
      </rPr>
      <t xml:space="preserve">④ 独立 </t>
    </r>
    <r>
      <rPr>
        <sz val="10"/>
        <rFont val="Arial"/>
        <family val="0"/>
        <charset val="1"/>
      </rPr>
      <t xml:space="preserve">/ </t>
    </r>
    <r>
      <rPr>
        <sz val="10"/>
        <rFont val="Noto Sans CJK SC"/>
        <family val="2"/>
      </rPr>
      <t xml:space="preserve">协作</t>
    </r>
  </si>
  <si>
    <t xml:space="preserve">单部门可独立完成</t>
  </si>
  <si>
    <t xml:space="preserve">少量协作</t>
  </si>
  <si>
    <r>
      <rPr>
        <sz val="10"/>
        <rFont val="Noto Sans CJK SC"/>
        <family val="2"/>
      </rPr>
      <t xml:space="preserve">跨</t>
    </r>
    <r>
      <rPr>
        <sz val="10"/>
        <rFont val="Arial"/>
        <family val="0"/>
        <charset val="1"/>
      </rPr>
      <t xml:space="preserve">2-3</t>
    </r>
    <r>
      <rPr>
        <sz val="10"/>
        <rFont val="Noto Sans CJK SC"/>
        <family val="2"/>
      </rPr>
      <t xml:space="preserve">部门协作</t>
    </r>
  </si>
  <si>
    <t xml:space="preserve">跨专业＋外部单位</t>
  </si>
  <si>
    <r>
      <rPr>
        <sz val="10"/>
        <rFont val="Noto Sans CJK SC"/>
        <family val="2"/>
      </rPr>
      <t xml:space="preserve">需总部</t>
    </r>
    <r>
      <rPr>
        <sz val="10"/>
        <rFont val="Arial"/>
        <family val="0"/>
        <charset val="1"/>
      </rPr>
      <t xml:space="preserve">/</t>
    </r>
    <r>
      <rPr>
        <sz val="10"/>
        <rFont val="Noto Sans CJK SC"/>
        <family val="2"/>
      </rPr>
      <t xml:space="preserve">跨企业协同</t>
    </r>
  </si>
  <si>
    <t xml:space="preserve">⑤ 技术难度</t>
  </si>
  <si>
    <t xml:space="preserve">20%</t>
  </si>
  <si>
    <t xml:space="preserve">成熟技术即用</t>
  </si>
  <si>
    <t xml:space="preserve">较易实现</t>
  </si>
  <si>
    <t xml:space="preserve">中等难度</t>
  </si>
  <si>
    <t xml:space="preserve">较难</t>
  </si>
  <si>
    <t xml:space="preserve">前沿攻关</t>
  </si>
  <si>
    <t xml:space="preserve">三、综合得分与优先级</t>
  </si>
  <si>
    <t xml:space="preserve">综合得分公式</t>
  </si>
  <si>
    <r>
      <rPr>
        <sz val="10"/>
        <rFont val="Arial"/>
        <family val="0"/>
        <charset val="1"/>
      </rPr>
      <t xml:space="preserve">①×25% </t>
    </r>
    <r>
      <rPr>
        <sz val="10"/>
        <rFont val="Noto Sans CJK SC"/>
        <family val="2"/>
      </rPr>
      <t xml:space="preserve">＋ ②</t>
    </r>
    <r>
      <rPr>
        <sz val="10"/>
        <rFont val="Arial"/>
        <family val="0"/>
        <charset val="1"/>
      </rPr>
      <t xml:space="preserve">×25% </t>
    </r>
    <r>
      <rPr>
        <sz val="10"/>
        <rFont val="Noto Sans CJK SC"/>
        <family val="2"/>
      </rPr>
      <t xml:space="preserve">＋ ③</t>
    </r>
    <r>
      <rPr>
        <sz val="10"/>
        <rFont val="Arial"/>
        <family val="0"/>
        <charset val="1"/>
      </rPr>
      <t xml:space="preserve">×15% </t>
    </r>
    <r>
      <rPr>
        <sz val="10"/>
        <rFont val="Noto Sans CJK SC"/>
        <family val="2"/>
      </rPr>
      <t xml:space="preserve">＋ ④</t>
    </r>
    <r>
      <rPr>
        <sz val="10"/>
        <rFont val="Arial"/>
        <family val="0"/>
        <charset val="1"/>
      </rPr>
      <t xml:space="preserve">×15% </t>
    </r>
    <r>
      <rPr>
        <sz val="10"/>
        <rFont val="Noto Sans CJK SC"/>
        <family val="2"/>
      </rPr>
      <t xml:space="preserve">＋ ⑤</t>
    </r>
    <r>
      <rPr>
        <sz val="10"/>
        <rFont val="Arial"/>
        <family val="0"/>
        <charset val="1"/>
      </rPr>
      <t xml:space="preserve">×20%</t>
    </r>
    <r>
      <rPr>
        <sz val="10"/>
        <rFont val="Noto Sans CJK SC"/>
        <family val="2"/>
      </rPr>
      <t xml:space="preserve">（满分 </t>
    </r>
    <r>
      <rPr>
        <sz val="10"/>
        <rFont val="Arial"/>
        <family val="0"/>
        <charset val="1"/>
      </rPr>
      <t xml:space="preserve">5.00</t>
    </r>
    <r>
      <rPr>
        <sz val="10"/>
        <rFont val="Noto Sans CJK SC"/>
        <family val="2"/>
      </rPr>
      <t xml:space="preserve">）</t>
    </r>
  </si>
  <si>
    <r>
      <rPr>
        <b val="true"/>
        <sz val="10"/>
        <rFont val="Arial"/>
        <family val="0"/>
        <charset val="1"/>
      </rPr>
      <t xml:space="preserve">P1</t>
    </r>
    <r>
      <rPr>
        <b val="true"/>
        <sz val="10"/>
        <rFont val="Noto Sans CJK SC"/>
        <family val="2"/>
      </rPr>
      <t xml:space="preserve">　立即启动</t>
    </r>
  </si>
  <si>
    <r>
      <rPr>
        <sz val="10"/>
        <rFont val="Noto Sans CJK SC"/>
        <family val="2"/>
      </rPr>
      <t xml:space="preserve">综合得分 ≥ </t>
    </r>
    <r>
      <rPr>
        <sz val="10"/>
        <rFont val="Arial"/>
        <family val="0"/>
        <charset val="1"/>
      </rPr>
      <t xml:space="preserve">4.00</t>
    </r>
    <r>
      <rPr>
        <sz val="10"/>
        <rFont val="Noto Sans CJK SC"/>
        <family val="2"/>
      </rPr>
      <t xml:space="preserve">　—　收益直接、频次高、数据可得、技术成熟，</t>
    </r>
    <r>
      <rPr>
        <sz val="10"/>
        <rFont val="Arial"/>
        <family val="0"/>
        <charset val="1"/>
      </rPr>
      <t xml:space="preserve">3 </t>
    </r>
    <r>
      <rPr>
        <sz val="10"/>
        <rFont val="Noto Sans CJK SC"/>
        <family val="2"/>
      </rPr>
      <t xml:space="preserve">个月内可见量化结果</t>
    </r>
  </si>
  <si>
    <r>
      <rPr>
        <b val="true"/>
        <sz val="10"/>
        <rFont val="Arial"/>
        <family val="0"/>
        <charset val="1"/>
      </rPr>
      <t xml:space="preserve">P2</t>
    </r>
    <r>
      <rPr>
        <b val="true"/>
        <sz val="10"/>
        <rFont val="Noto Sans CJK SC"/>
        <family val="2"/>
      </rPr>
      <t xml:space="preserve">　半年内推进</t>
    </r>
  </si>
  <si>
    <r>
      <rPr>
        <sz val="10"/>
        <rFont val="Arial"/>
        <family val="0"/>
        <charset val="1"/>
      </rPr>
      <t xml:space="preserve">3.60 ≤ </t>
    </r>
    <r>
      <rPr>
        <sz val="10"/>
        <rFont val="Noto Sans CJK SC"/>
        <family val="2"/>
      </rPr>
      <t xml:space="preserve">综合得分 </t>
    </r>
    <r>
      <rPr>
        <sz val="10"/>
        <rFont val="Arial"/>
        <family val="0"/>
        <charset val="1"/>
      </rPr>
      <t xml:space="preserve">&lt; 4.00</t>
    </r>
    <r>
      <rPr>
        <sz val="10"/>
        <rFont val="Noto Sans CJK SC"/>
        <family val="2"/>
      </rPr>
      <t xml:space="preserve">　—　价值明确，需一定跨部门协调或数据准备</t>
    </r>
  </si>
  <si>
    <r>
      <rPr>
        <b val="true"/>
        <sz val="10"/>
        <rFont val="Arial"/>
        <family val="0"/>
        <charset val="1"/>
      </rPr>
      <t xml:space="preserve">P3</t>
    </r>
    <r>
      <rPr>
        <b val="true"/>
        <sz val="10"/>
        <rFont val="Noto Sans CJK SC"/>
        <family val="2"/>
      </rPr>
      <t xml:space="preserve">　储备观察</t>
    </r>
  </si>
  <si>
    <r>
      <rPr>
        <sz val="10"/>
        <rFont val="Arial"/>
        <family val="0"/>
        <charset val="1"/>
      </rPr>
      <t xml:space="preserve">3.20 ≤ </t>
    </r>
    <r>
      <rPr>
        <sz val="10"/>
        <rFont val="Noto Sans CJK SC"/>
        <family val="2"/>
      </rPr>
      <t xml:space="preserve">综合得分 </t>
    </r>
    <r>
      <rPr>
        <sz val="10"/>
        <rFont val="Arial"/>
        <family val="0"/>
        <charset val="1"/>
      </rPr>
      <t xml:space="preserve">&lt; 3.60</t>
    </r>
    <r>
      <rPr>
        <sz val="10"/>
        <rFont val="Noto Sans CJK SC"/>
        <family val="2"/>
      </rPr>
      <t xml:space="preserve">　—　具备价值但受协作面或技术成熟度制约</t>
    </r>
  </si>
  <si>
    <r>
      <rPr>
        <b val="true"/>
        <sz val="10"/>
        <rFont val="Arial"/>
        <family val="0"/>
        <charset val="1"/>
      </rPr>
      <t xml:space="preserve">P4</t>
    </r>
    <r>
      <rPr>
        <b val="true"/>
        <sz val="10"/>
        <rFont val="Noto Sans CJK SC"/>
        <family val="2"/>
      </rPr>
      <t xml:space="preserve">　暂缓</t>
    </r>
  </si>
  <si>
    <r>
      <rPr>
        <sz val="10"/>
        <rFont val="Noto Sans CJK SC"/>
        <family val="2"/>
      </rPr>
      <t xml:space="preserve">综合得分 </t>
    </r>
    <r>
      <rPr>
        <sz val="10"/>
        <rFont val="Arial"/>
        <family val="0"/>
        <charset val="1"/>
      </rPr>
      <t xml:space="preserve">&lt; 3.20</t>
    </r>
    <r>
      <rPr>
        <sz val="10"/>
        <rFont val="Noto Sans CJK SC"/>
        <family val="2"/>
      </rPr>
      <t xml:space="preserve">　—　涉密度高、频次低或南网总部已统建，重复投入回报有限</t>
    </r>
  </si>
  <si>
    <t xml:space="preserve">四、使用提示</t>
  </si>
  <si>
    <t xml:space="preserve">读表顺序</t>
  </si>
  <si>
    <r>
      <rPr>
        <sz val="10"/>
        <rFont val="Noto Sans CJK SC"/>
        <family val="2"/>
      </rPr>
      <t xml:space="preserve">先看“</t>
    </r>
    <r>
      <rPr>
        <sz val="10"/>
        <rFont val="Arial"/>
        <family val="0"/>
        <charset val="1"/>
      </rPr>
      <t xml:space="preserve">AI</t>
    </r>
    <r>
      <rPr>
        <sz val="10"/>
        <rFont val="Noto Sans CJK SC"/>
        <family val="2"/>
      </rPr>
      <t xml:space="preserve">高价值场景排序”前 </t>
    </r>
    <r>
      <rPr>
        <sz val="10"/>
        <rFont val="Arial"/>
        <family val="0"/>
        <charset val="1"/>
      </rPr>
      <t xml:space="preserve">40 </t>
    </r>
    <r>
      <rPr>
        <sz val="10"/>
        <rFont val="Noto Sans CJK SC"/>
        <family val="2"/>
      </rPr>
      <t xml:space="preserve">行，再用“分单位价值分布”判断从哪个单位切入</t>
    </r>
  </si>
  <si>
    <t xml:space="preserve">得分为相对量</t>
  </si>
  <si>
    <t xml:space="preserve">五个维度的分值用于横向比较场景优先级，不代表绝对收益金额</t>
  </si>
  <si>
    <t xml:space="preserve">需现场校准的项</t>
  </si>
  <si>
    <t xml:space="preserve">涉密等级、数据可得性与协作面以客户实际管理口径为准，建议在调研阶段逐项确认</t>
  </si>
  <si>
    <t xml:space="preserve">评分依据</t>
  </si>
  <si>
    <t xml:space="preserve">组织架构与岗位设置依据南方电网省级电网公司通行设置及广西电网公开信息整理；场景频次与收益属性依据电网业务通行实践判断</t>
  </si>
  <si>
    <t xml:space="preserve">排名</t>
  </si>
  <si>
    <t xml:space="preserve">一级单位</t>
  </si>
  <si>
    <r>
      <rPr>
        <b val="true"/>
        <sz val="10"/>
        <color rgb="FFFFFFFF"/>
        <rFont val="Noto Sans CJK SC"/>
        <family val="2"/>
      </rPr>
      <t xml:space="preserve">科室 </t>
    </r>
    <r>
      <rPr>
        <b val="true"/>
        <sz val="10"/>
        <color rgb="FFFFFFFF"/>
        <rFont val="Arial"/>
        <family val="0"/>
        <charset val="1"/>
      </rPr>
      <t xml:space="preserve">/ </t>
    </r>
    <r>
      <rPr>
        <b val="true"/>
        <sz val="10"/>
        <color rgb="FFFFFFFF"/>
        <rFont val="Noto Sans CJK SC"/>
        <family val="2"/>
      </rPr>
      <t xml:space="preserve">岗位群</t>
    </r>
  </si>
  <si>
    <t xml:space="preserve">典型岗位</t>
  </si>
  <si>
    <t xml:space="preserve">工作场景</t>
  </si>
  <si>
    <t xml:space="preserve">①收益属性</t>
  </si>
  <si>
    <t xml:space="preserve">①得分</t>
  </si>
  <si>
    <t xml:space="preserve">②发生频次</t>
  </si>
  <si>
    <t xml:space="preserve">②得分</t>
  </si>
  <si>
    <t xml:space="preserve">③敏感等级</t>
  </si>
  <si>
    <t xml:space="preserve">③得分</t>
  </si>
  <si>
    <t xml:space="preserve">④协作程度</t>
  </si>
  <si>
    <t xml:space="preserve">④得分</t>
  </si>
  <si>
    <t xml:space="preserve">⑤技术难度</t>
  </si>
  <si>
    <t xml:space="preserve">⑤得分</t>
  </si>
  <si>
    <t xml:space="preserve">综合得分</t>
  </si>
  <si>
    <t xml:space="preserve">优先级</t>
  </si>
  <si>
    <r>
      <rPr>
        <b val="true"/>
        <sz val="10"/>
        <color rgb="FFFFFFFF"/>
        <rFont val="Noto Sans CJK SC"/>
        <family val="2"/>
      </rPr>
      <t xml:space="preserve">建议 </t>
    </r>
    <r>
      <rPr>
        <b val="true"/>
        <sz val="10"/>
        <color rgb="FFFFFFFF"/>
        <rFont val="Arial"/>
        <family val="0"/>
        <charset val="1"/>
      </rPr>
      <t xml:space="preserve">AI </t>
    </r>
    <r>
      <rPr>
        <b val="true"/>
        <sz val="10"/>
        <color rgb="FFFFFFFF"/>
        <rFont val="Noto Sans CJK SC"/>
        <family val="2"/>
      </rPr>
      <t xml:space="preserve">技术路线</t>
    </r>
  </si>
  <si>
    <t xml:space="preserve">落地备注</t>
  </si>
  <si>
    <t xml:space="preserve">广西电动汽车服务公司</t>
  </si>
  <si>
    <t xml:space="preserve">运营</t>
  </si>
  <si>
    <t xml:space="preserve">站点运营岗</t>
  </si>
  <si>
    <t xml:space="preserve">充电站运营分析与动态价格策略</t>
  </si>
  <si>
    <t xml:space="preserve">需求预测＋动态定价</t>
  </si>
  <si>
    <t xml:space="preserve">高频高收益，数据自有</t>
  </si>
  <si>
    <t xml:space="preserve">市场营销部</t>
  </si>
  <si>
    <t xml:space="preserve">线损管理</t>
  </si>
  <si>
    <t xml:space="preserve">线损专责</t>
  </si>
  <si>
    <t xml:space="preserve">台区线损分析与治理定位</t>
  </si>
  <si>
    <t xml:space="preserve">电气拓扑校验＋异常归因模型</t>
  </si>
  <si>
    <t xml:space="preserve">线损率是硬考核指标，收益直接落账</t>
  </si>
  <si>
    <r>
      <rPr>
        <sz val="10"/>
        <rFont val="Noto Sans CJK SC"/>
        <family val="2"/>
      </rPr>
      <t xml:space="preserve">广西新电力投资集团（</t>
    </r>
    <r>
      <rPr>
        <sz val="10"/>
        <rFont val="Arial"/>
        <family val="0"/>
        <charset val="1"/>
      </rPr>
      <t xml:space="preserve">40</t>
    </r>
    <r>
      <rPr>
        <sz val="10"/>
        <rFont val="Noto Sans CJK SC"/>
        <family val="2"/>
      </rPr>
      <t xml:space="preserve">家县企）</t>
    </r>
  </si>
  <si>
    <t xml:space="preserve">农网线损专责</t>
  </si>
  <si>
    <t xml:space="preserve">农网台区线损治理与窃电定位</t>
  </si>
  <si>
    <t xml:space="preserve">台区拓扑校验＋异常用户定位</t>
  </si>
  <si>
    <t xml:space="preserve">农网线损率高于城网，收益空间最大</t>
  </si>
  <si>
    <r>
      <rPr>
        <sz val="10"/>
        <rFont val="Noto Sans CJK SC"/>
        <family val="2"/>
      </rPr>
      <t xml:space="preserve">地市供电局（</t>
    </r>
    <r>
      <rPr>
        <sz val="10"/>
        <rFont val="Arial"/>
        <family val="0"/>
        <charset val="1"/>
      </rPr>
      <t xml:space="preserve">14</t>
    </r>
    <r>
      <rPr>
        <sz val="10"/>
        <rFont val="Noto Sans CJK SC"/>
        <family val="2"/>
      </rPr>
      <t xml:space="preserve">个）</t>
    </r>
  </si>
  <si>
    <t xml:space="preserve">供电所</t>
  </si>
  <si>
    <t xml:space="preserve">台区经理</t>
  </si>
  <si>
    <t xml:space="preserve">台区片区服务、走访与用电潜力挖掘</t>
  </si>
  <si>
    <t xml:space="preserve">客户画像＋走访任务推荐</t>
  </si>
  <si>
    <t xml:space="preserve">一线创收触点</t>
  </si>
  <si>
    <t xml:space="preserve">客户服务</t>
  </si>
  <si>
    <t xml:space="preserve">业扩勘查员</t>
  </si>
  <si>
    <t xml:space="preserve">用电报装现场勘查与方案初判</t>
  </si>
  <si>
    <t xml:space="preserve">移动端影像识别＋方案推荐</t>
  </si>
  <si>
    <t xml:space="preserve">办电时长是营商环境考核项</t>
  </si>
  <si>
    <t xml:space="preserve">业扩报装</t>
  </si>
  <si>
    <t xml:space="preserve">业扩报装专责</t>
  </si>
  <si>
    <t xml:space="preserve">业扩报装受理、流程流转与超期预警</t>
  </si>
  <si>
    <r>
      <rPr>
        <sz val="10"/>
        <rFont val="Noto Sans CJK SC"/>
        <family val="2"/>
      </rPr>
      <t xml:space="preserve">流程智能体＋</t>
    </r>
    <r>
      <rPr>
        <sz val="10"/>
        <rFont val="Arial"/>
        <family val="0"/>
        <charset val="1"/>
      </rPr>
      <t xml:space="preserve">OCR</t>
    </r>
    <r>
      <rPr>
        <sz val="10"/>
        <rFont val="Noto Sans CJK SC"/>
        <family val="2"/>
      </rPr>
      <t xml:space="preserve">资料核验</t>
    </r>
  </si>
  <si>
    <t xml:space="preserve">高频刚需，数据在管理信息大区</t>
  </si>
  <si>
    <t xml:space="preserve">客户经理</t>
  </si>
  <si>
    <t xml:space="preserve">大客户经理</t>
  </si>
  <si>
    <t xml:space="preserve">重点客户走访与增供扩销机会挖掘</t>
  </si>
  <si>
    <t xml:space="preserve">行业用电画像＋潜力客户推荐</t>
  </si>
  <si>
    <t xml:space="preserve">直接创收，售电量是核心考核</t>
  </si>
  <si>
    <t xml:space="preserve">生产技术部</t>
  </si>
  <si>
    <t xml:space="preserve">输电管理</t>
  </si>
  <si>
    <t xml:space="preserve">通道管理专责</t>
  </si>
  <si>
    <r>
      <rPr>
        <sz val="10"/>
        <rFont val="Noto Sans CJK SC"/>
        <family val="2"/>
      </rPr>
      <t xml:space="preserve">线路通道外破隐患识别（施工机械</t>
    </r>
    <r>
      <rPr>
        <sz val="10"/>
        <rFont val="Arial"/>
        <family val="0"/>
        <charset val="1"/>
      </rPr>
      <t xml:space="preserve">/</t>
    </r>
    <r>
      <rPr>
        <sz val="10"/>
        <rFont val="Noto Sans CJK SC"/>
        <family val="2"/>
      </rPr>
      <t xml:space="preserve">树障）</t>
    </r>
  </si>
  <si>
    <t xml:space="preserve">视觉目标检测＋边缘告警</t>
  </si>
  <si>
    <t xml:space="preserve">外破是跳闸主因之一，防损收益明确</t>
  </si>
  <si>
    <t xml:space="preserve">计量中心</t>
  </si>
  <si>
    <t xml:space="preserve">采集运维</t>
  </si>
  <si>
    <t xml:space="preserve">采集运维专责</t>
  </si>
  <si>
    <t xml:space="preserve">用电信息采集成功率提升与异常处理</t>
  </si>
  <si>
    <t xml:space="preserve">通信异常诊断＋根因定位</t>
  </si>
  <si>
    <t xml:space="preserve">采集率直接决定线损与电费准确性</t>
  </si>
  <si>
    <t xml:space="preserve">人力资源部</t>
  </si>
  <si>
    <t xml:space="preserve">综合管理</t>
  </si>
  <si>
    <t xml:space="preserve">人资综合专责</t>
  </si>
  <si>
    <t xml:space="preserve">人资制度与政策智能问答</t>
  </si>
  <si>
    <r>
      <rPr>
        <sz val="10"/>
        <rFont val="Arial"/>
        <family val="0"/>
        <charset val="1"/>
      </rPr>
      <t xml:space="preserve">RAG</t>
    </r>
    <r>
      <rPr>
        <sz val="10"/>
        <rFont val="Noto Sans CJK SC"/>
        <family val="2"/>
      </rPr>
      <t xml:space="preserve">知识问答</t>
    </r>
  </si>
  <si>
    <r>
      <rPr>
        <sz val="10"/>
        <rFont val="Noto Sans CJK SC"/>
        <family val="2"/>
      </rPr>
      <t xml:space="preserve">广西电网已建成，问答准确率</t>
    </r>
    <r>
      <rPr>
        <sz val="10"/>
        <rFont val="Arial"/>
        <family val="0"/>
        <charset val="1"/>
      </rPr>
      <t xml:space="preserve">95%</t>
    </r>
    <r>
      <rPr>
        <sz val="10"/>
        <rFont val="Noto Sans CJK SC"/>
        <family val="2"/>
      </rPr>
      <t xml:space="preserve">，勿重复投入</t>
    </r>
  </si>
  <si>
    <t xml:space="preserve">电价电费</t>
  </si>
  <si>
    <t xml:space="preserve">电费核算专责</t>
  </si>
  <si>
    <t xml:space="preserve">电费核算差错稽核与电量异常识别</t>
  </si>
  <si>
    <t xml:space="preserve">异常检测＋规则比对</t>
  </si>
  <si>
    <t xml:space="preserve">涉及客户敏感数据，需脱敏</t>
  </si>
  <si>
    <t xml:space="preserve">电费回收</t>
  </si>
  <si>
    <t xml:space="preserve">电费回收专责</t>
  </si>
  <si>
    <t xml:space="preserve">客户欠费风险预警与差异化催收</t>
  </si>
  <si>
    <t xml:space="preserve">信用评分＋违约概率预测</t>
  </si>
  <si>
    <t xml:space="preserve">直接改善现金流</t>
  </si>
  <si>
    <t xml:space="preserve">信用管理专责</t>
  </si>
  <si>
    <t xml:space="preserve">客户信用评价与风险分级</t>
  </si>
  <si>
    <t xml:space="preserve">信用评分卡＋外部工商数据融合</t>
  </si>
  <si>
    <t xml:space="preserve">与欠费预警可合并建设</t>
  </si>
  <si>
    <t xml:space="preserve">用电检查</t>
  </si>
  <si>
    <t xml:space="preserve">反窃电专责</t>
  </si>
  <si>
    <t xml:space="preserve">反窃电与异常用电行为稽查</t>
  </si>
  <si>
    <t xml:space="preserve">用电曲线聚类＋图关联分析</t>
  </si>
  <si>
    <t xml:space="preserve">直接追补电费，收益可量化</t>
  </si>
  <si>
    <t xml:space="preserve">战略规划部</t>
  </si>
  <si>
    <t xml:space="preserve">新能源规划</t>
  </si>
  <si>
    <t xml:space="preserve">新能源接入专责</t>
  </si>
  <si>
    <t xml:space="preserve">台区级新能源承载力评估与接入序位安排</t>
  </si>
  <si>
    <t xml:space="preserve">承载力仿真＋越限概率预测</t>
  </si>
  <si>
    <t xml:space="preserve">新能源占比过半后的第一痛点，收益直接</t>
  </si>
  <si>
    <t xml:space="preserve">基建部</t>
  </si>
  <si>
    <t xml:space="preserve">质量安全</t>
  </si>
  <si>
    <t xml:space="preserve">质量安全专责</t>
  </si>
  <si>
    <t xml:space="preserve">施工现场作业违章视频智能识别</t>
  </si>
  <si>
    <t xml:space="preserve">视觉行为识别＋边缘部署</t>
  </si>
  <si>
    <t xml:space="preserve">安全事故一票否决，付费意愿强</t>
  </si>
  <si>
    <t xml:space="preserve">计量</t>
  </si>
  <si>
    <t xml:space="preserve">计量专责</t>
  </si>
  <si>
    <t xml:space="preserve">计量装置故障诊断与轮换计划优化</t>
  </si>
  <si>
    <t xml:space="preserve">设备故障分类＋寿命预测</t>
  </si>
  <si>
    <t xml:space="preserve">关联采集成功率与线损两项指标</t>
  </si>
  <si>
    <t xml:space="preserve">运维</t>
  </si>
  <si>
    <t xml:space="preserve">充电设施运维岗</t>
  </si>
  <si>
    <t xml:space="preserve">充电桩故障预测与远程运维</t>
  </si>
  <si>
    <t xml:space="preserve">故障预测＋远程诊断</t>
  </si>
  <si>
    <t xml:space="preserve">降低运维人力</t>
  </si>
  <si>
    <t xml:space="preserve">广西电网能源科技公司</t>
  </si>
  <si>
    <t xml:space="preserve">市场开发</t>
  </si>
  <si>
    <t xml:space="preserve">项目开发经理</t>
  </si>
  <si>
    <t xml:space="preserve">综合能源项目机会识别与收益测算</t>
  </si>
  <si>
    <t xml:space="preserve">行业能耗画像＋收益测算模型</t>
  </si>
  <si>
    <t xml:space="preserve">经营性收入来源</t>
  </si>
  <si>
    <t xml:space="preserve">节能服务</t>
  </si>
  <si>
    <t xml:space="preserve">能效工程师</t>
  </si>
  <si>
    <t xml:space="preserve">用户能效诊断与节能改造方案生成</t>
  </si>
  <si>
    <t xml:space="preserve">能耗基准对标＋方案生成</t>
  </si>
  <si>
    <t xml:space="preserve">可规模化复制</t>
  </si>
  <si>
    <t xml:space="preserve">输电运维专责</t>
  </si>
  <si>
    <t xml:space="preserve">输电线路机巡影像缺陷智能识别</t>
  </si>
  <si>
    <t xml:space="preserve">多模态视觉大模型</t>
  </si>
  <si>
    <r>
      <rPr>
        <sz val="10"/>
        <rFont val="Noto Sans CJK SC"/>
        <family val="2"/>
      </rPr>
      <t xml:space="preserve">广西已建输电大模型，识别率</t>
    </r>
    <r>
      <rPr>
        <sz val="10"/>
        <rFont val="Arial"/>
        <family val="0"/>
        <charset val="1"/>
      </rPr>
      <t xml:space="preserve">91.24%</t>
    </r>
    <r>
      <rPr>
        <sz val="10"/>
        <rFont val="Noto Sans CJK SC"/>
        <family val="2"/>
      </rPr>
      <t xml:space="preserve">，需做长尾补充</t>
    </r>
  </si>
  <si>
    <t xml:space="preserve">设备管理</t>
  </si>
  <si>
    <t xml:space="preserve">缺陷管理专责</t>
  </si>
  <si>
    <t xml:space="preserve">缺陷闭环管理与人工复核减负</t>
  </si>
  <si>
    <t xml:space="preserve">置信度分层＋自动复核</t>
  </si>
  <si>
    <r>
      <rPr>
        <sz val="10"/>
        <rFont val="Noto Sans CJK SC"/>
        <family val="2"/>
      </rPr>
      <t xml:space="preserve">南网口径人工复核耗时可降</t>
    </r>
    <r>
      <rPr>
        <sz val="10"/>
        <rFont val="Arial"/>
        <family val="0"/>
        <charset val="1"/>
      </rPr>
      <t xml:space="preserve">50%</t>
    </r>
  </si>
  <si>
    <t xml:space="preserve">市场拓展</t>
  </si>
  <si>
    <t xml:space="preserve">电能替代专责</t>
  </si>
  <si>
    <t xml:space="preserve">电能替代项目机会识别与方案测算</t>
  </si>
  <si>
    <t xml:space="preserve">行业能耗基准库＋替代测算模型</t>
  </si>
  <si>
    <t xml:space="preserve">新增电量，创收属性最强的一类</t>
  </si>
  <si>
    <t xml:space="preserve">供电方案编制岗</t>
  </si>
  <si>
    <t xml:space="preserve">供电方案（接入方案）自动编制与答复</t>
  </si>
  <si>
    <t xml:space="preserve">规则引擎＋网架拓扑计算＋大模型生成</t>
  </si>
  <si>
    <t xml:space="preserve">直接影响客户满意度与办电时长指标</t>
  </si>
  <si>
    <t xml:space="preserve">分布式能源</t>
  </si>
  <si>
    <t xml:space="preserve">分布式光伏专责</t>
  </si>
  <si>
    <t xml:space="preserve">分布式光伏并网受理、计量与结算</t>
  </si>
  <si>
    <t xml:space="preserve">并网条件自动校验＋结算核算</t>
  </si>
  <si>
    <t xml:space="preserve">广西分布式增速快，工作量激增</t>
  </si>
  <si>
    <t xml:space="preserve">广西电力交易中心</t>
  </si>
  <si>
    <t xml:space="preserve">绿电交易</t>
  </si>
  <si>
    <t xml:space="preserve">绿电绿证专责</t>
  </si>
  <si>
    <t xml:space="preserve">绿电与绿证交易组织及跨区撮合</t>
  </si>
  <si>
    <t xml:space="preserve">供需匹配＋价格预测</t>
  </si>
  <si>
    <r>
      <rPr>
        <sz val="10"/>
        <rFont val="Arial"/>
        <family val="0"/>
        <charset val="1"/>
      </rPr>
      <t xml:space="preserve">2025</t>
    </r>
    <r>
      <rPr>
        <sz val="10"/>
        <rFont val="Noto Sans CJK SC"/>
        <family val="2"/>
      </rPr>
      <t xml:space="preserve">年绿电成交</t>
    </r>
    <r>
      <rPr>
        <sz val="10"/>
        <rFont val="Arial"/>
        <family val="0"/>
        <charset val="1"/>
      </rPr>
      <t xml:space="preserve">167</t>
    </r>
    <r>
      <rPr>
        <sz val="10"/>
        <rFont val="Noto Sans CJK SC"/>
        <family val="2"/>
      </rPr>
      <t xml:space="preserve">亿千瓦时、全国第六，增速</t>
    </r>
    <r>
      <rPr>
        <sz val="10"/>
        <rFont val="Arial"/>
        <family val="0"/>
        <charset val="1"/>
      </rPr>
      <t xml:space="preserve">82.2%</t>
    </r>
  </si>
  <si>
    <t xml:space="preserve">广西送变电建设公司</t>
  </si>
  <si>
    <t xml:space="preserve">项目管理</t>
  </si>
  <si>
    <t xml:space="preserve">项目经理</t>
  </si>
  <si>
    <t xml:space="preserve">施工机械、人员与工序智能调度</t>
  </si>
  <si>
    <t xml:space="preserve">资源调度优化＋进度仿真</t>
  </si>
  <si>
    <t xml:space="preserve">直接影响工期与成本</t>
  </si>
  <si>
    <t xml:space="preserve">党建工作部（宣传）</t>
  </si>
  <si>
    <t xml:space="preserve">新闻宣传</t>
  </si>
  <si>
    <t xml:space="preserve">宣传专责</t>
  </si>
  <si>
    <t xml:space="preserve">新闻稿件、外宣素材与融媒体内容生产</t>
  </si>
  <si>
    <t xml:space="preserve">文案生成＋素材检索</t>
  </si>
  <si>
    <t xml:space="preserve">高频易替代但经济价值低</t>
  </si>
  <si>
    <r>
      <rPr>
        <sz val="10"/>
        <rFont val="Noto Sans CJK SC"/>
        <family val="2"/>
      </rPr>
      <t xml:space="preserve">供电所所长</t>
    </r>
    <r>
      <rPr>
        <sz val="10"/>
        <rFont val="Arial"/>
        <family val="0"/>
        <charset val="1"/>
      </rPr>
      <t xml:space="preserve">/</t>
    </r>
    <r>
      <rPr>
        <sz val="10"/>
        <rFont val="Noto Sans CJK SC"/>
        <family val="2"/>
      </rPr>
      <t xml:space="preserve">综合柜员</t>
    </r>
  </si>
  <si>
    <t xml:space="preserve">供电所营配业务综合受理与办理</t>
  </si>
  <si>
    <t xml:space="preserve">业务智能体＋知识问答</t>
  </si>
  <si>
    <t xml:space="preserve">最基层，人少事杂</t>
  </si>
  <si>
    <t xml:space="preserve">抢修指挥</t>
  </si>
  <si>
    <t xml:space="preserve">抢修指挥员</t>
  </si>
  <si>
    <t xml:space="preserve">抢修班组调度与抢修车辆定位调派</t>
  </si>
  <si>
    <t xml:space="preserve">路径优化＋资源调派</t>
  </si>
  <si>
    <t xml:space="preserve">直接影响停电时户数</t>
  </si>
  <si>
    <t xml:space="preserve">营销管理</t>
  </si>
  <si>
    <t xml:space="preserve">县域营销专责</t>
  </si>
  <si>
    <t xml:space="preserve">县域供电所营销业务标准化与稽核</t>
  </si>
  <si>
    <t xml:space="preserve">业务规则校验＋异常稽核</t>
  </si>
  <si>
    <t xml:space="preserve">县企管理基础较薄弱，提升空间大</t>
  </si>
  <si>
    <t xml:space="preserve">安全质量</t>
  </si>
  <si>
    <t xml:space="preserve">安全员</t>
  </si>
  <si>
    <t xml:space="preserve">施工现场安全旁站与验收记录</t>
  </si>
  <si>
    <t xml:space="preserve">视觉监护＋自动记录</t>
  </si>
  <si>
    <t xml:space="preserve">人力密集</t>
  </si>
  <si>
    <t xml:space="preserve">物资部（供应链管理）</t>
  </si>
  <si>
    <t xml:space="preserve">仓储配送</t>
  </si>
  <si>
    <t xml:space="preserve">仓储专责</t>
  </si>
  <si>
    <t xml:space="preserve">库存优化、呆滞物资调剂与配送计划</t>
  </si>
  <si>
    <t xml:space="preserve">库存优化＋需求预测</t>
  </si>
  <si>
    <t xml:space="preserve">占压资金可释放</t>
  </si>
  <si>
    <t xml:space="preserve">变电管理</t>
  </si>
  <si>
    <t xml:space="preserve">变电运维专责</t>
  </si>
  <si>
    <t xml:space="preserve">变电站视频与红外巡检智能分析</t>
  </si>
  <si>
    <t xml:space="preserve">视觉检测＋红外测温异常识别</t>
  </si>
  <si>
    <r>
      <rPr>
        <sz val="10"/>
        <rFont val="Noto Sans CJK SC"/>
        <family val="2"/>
      </rPr>
      <t xml:space="preserve">站端边缘部署，属</t>
    </r>
    <r>
      <rPr>
        <sz val="10"/>
        <rFont val="Arial"/>
        <family val="0"/>
        <charset val="1"/>
      </rPr>
      <t xml:space="preserve">AI</t>
    </r>
    <r>
      <rPr>
        <sz val="10"/>
        <rFont val="Noto Sans CJK SC"/>
        <family val="2"/>
      </rPr>
      <t xml:space="preserve">入边方向</t>
    </r>
  </si>
  <si>
    <t xml:space="preserve">抢修管理</t>
  </si>
  <si>
    <t xml:space="preserve">抢修指挥专责</t>
  </si>
  <si>
    <t xml:space="preserve">故障抢修派工与到达时间预测</t>
  </si>
  <si>
    <t xml:space="preserve">路径优化＋到达时间预测</t>
  </si>
  <si>
    <t xml:space="preserve">影响客户平均停电时间</t>
  </si>
  <si>
    <t xml:space="preserve">财务部</t>
  </si>
  <si>
    <t xml:space="preserve">财务共享</t>
  </si>
  <si>
    <t xml:space="preserve">核算会计</t>
  </si>
  <si>
    <t xml:space="preserve">票据识别与凭证自动生成</t>
  </si>
  <si>
    <r>
      <rPr>
        <sz val="10"/>
        <rFont val="Arial"/>
        <family val="0"/>
        <charset val="1"/>
      </rPr>
      <t xml:space="preserve">OCR</t>
    </r>
    <r>
      <rPr>
        <sz val="10"/>
        <rFont val="Noto Sans CJK SC"/>
        <family val="2"/>
      </rPr>
      <t xml:space="preserve">＋财务规则引擎</t>
    </r>
  </si>
  <si>
    <t xml:space="preserve">高频重复，替代率高</t>
  </si>
  <si>
    <t xml:space="preserve">储能业务</t>
  </si>
  <si>
    <t xml:space="preserve">储能技术岗</t>
  </si>
  <si>
    <t xml:space="preserve">用户侧储能容量配置与充放策略优化</t>
  </si>
  <si>
    <t xml:space="preserve">峰谷价差优化＋容量配置模型</t>
  </si>
  <si>
    <t xml:space="preserve">现货价差扩大后收益空间上升</t>
  </si>
  <si>
    <t xml:space="preserve">配电管理</t>
  </si>
  <si>
    <t xml:space="preserve">配网运维专责</t>
  </si>
  <si>
    <t xml:space="preserve">配网设备缺陷识别与自动工单生成</t>
  </si>
  <si>
    <t xml:space="preserve">小样本视觉模型＋工单生成</t>
  </si>
  <si>
    <t xml:space="preserve">配网侧标注稀缺，是真实能力缺口</t>
  </si>
  <si>
    <t xml:space="preserve">综合能源</t>
  </si>
  <si>
    <t xml:space="preserve">节能服务专责</t>
  </si>
  <si>
    <t xml:space="preserve">综合能源与节能改造方案设计</t>
  </si>
  <si>
    <t xml:space="preserve">能耗诊断模型＋方案生成</t>
  </si>
  <si>
    <t xml:space="preserve">可延伸为对外经营性业务</t>
  </si>
  <si>
    <r>
      <rPr>
        <sz val="10"/>
        <rFont val="Noto Sans CJK SC"/>
        <family val="2"/>
      </rPr>
      <t xml:space="preserve">客户服务中心（</t>
    </r>
    <r>
      <rPr>
        <sz val="10"/>
        <rFont val="Arial"/>
        <family val="0"/>
        <charset val="1"/>
      </rPr>
      <t xml:space="preserve">95598</t>
    </r>
    <r>
      <rPr>
        <sz val="10"/>
        <rFont val="Noto Sans CJK SC"/>
        <family val="2"/>
      </rPr>
      <t xml:space="preserve">）</t>
    </r>
  </si>
  <si>
    <t xml:space="preserve">话务运营</t>
  </si>
  <si>
    <t xml:space="preserve">坐席</t>
  </si>
  <si>
    <t xml:space="preserve">智能语音客服与用户意图识别</t>
  </si>
  <si>
    <t xml:space="preserve">语音识别＋意图理解＋知识问答</t>
  </si>
  <si>
    <t xml:space="preserve">南网统一客服已建，省侧仅做适配</t>
  </si>
  <si>
    <t xml:space="preserve">运营管理</t>
  </si>
  <si>
    <t xml:space="preserve">运营专责</t>
  </si>
  <si>
    <t xml:space="preserve">话务量预测与坐席排班优化</t>
  </si>
  <si>
    <t xml:space="preserve">时序预测＋排班优化</t>
  </si>
  <si>
    <t xml:space="preserve">迎峰度夏话务峰值明显</t>
  </si>
  <si>
    <t xml:space="preserve">电价政策专责</t>
  </si>
  <si>
    <t xml:space="preserve">电价政策解读与目录电价执行适配</t>
  </si>
  <si>
    <r>
      <rPr>
        <sz val="10"/>
        <rFont val="Noto Sans CJK SC"/>
        <family val="2"/>
      </rPr>
      <t xml:space="preserve">检索增强生成（</t>
    </r>
    <r>
      <rPr>
        <sz val="10"/>
        <rFont val="Arial"/>
        <family val="0"/>
        <charset val="1"/>
      </rPr>
      <t xml:space="preserve">RAG</t>
    </r>
    <r>
      <rPr>
        <sz val="10"/>
        <rFont val="Noto Sans CJK SC"/>
        <family val="2"/>
      </rPr>
      <t xml:space="preserve">）＋政策知识库</t>
    </r>
  </si>
  <si>
    <t xml:space="preserve">政策更新频繁，知识库价值大</t>
  </si>
  <si>
    <t xml:space="preserve">信息披露</t>
  </si>
  <si>
    <t xml:space="preserve">信息披露专责</t>
  </si>
  <si>
    <t xml:space="preserve">市场信息披露报告自动编制</t>
  </si>
  <si>
    <t xml:space="preserve">数据取数＋报告生成</t>
  </si>
  <si>
    <t xml:space="preserve">强制披露，高频重复</t>
  </si>
  <si>
    <t xml:space="preserve">工程技术</t>
  </si>
  <si>
    <t xml:space="preserve">施工技术员</t>
  </si>
  <si>
    <t xml:space="preserve">施工方案编制与技术交底文件生成</t>
  </si>
  <si>
    <t xml:space="preserve">模板库＋大模型生成</t>
  </si>
  <si>
    <t xml:space="preserve">项目数量大，重复度高</t>
  </si>
  <si>
    <t xml:space="preserve">配网调控</t>
  </si>
  <si>
    <t xml:space="preserve">配调值班员</t>
  </si>
  <si>
    <t xml:space="preserve">配网调控、故障研判与自愈决策</t>
  </si>
  <si>
    <t xml:space="preserve">故障定位＋拓扑推理</t>
  </si>
  <si>
    <t xml:space="preserve">配网故障量最大</t>
  </si>
  <si>
    <t xml:space="preserve">结算</t>
  </si>
  <si>
    <t xml:space="preserve">结算专责</t>
  </si>
  <si>
    <t xml:space="preserve">电费结算与不平衡资金分摊核算</t>
  </si>
  <si>
    <t xml:space="preserve">结算规则引擎＋自动核算</t>
  </si>
  <si>
    <t xml:space="preserve">规则复杂，争议高发</t>
  </si>
  <si>
    <t xml:space="preserve">政企联动</t>
  </si>
  <si>
    <t xml:space="preserve">政企对接专责</t>
  </si>
  <si>
    <t xml:space="preserve">企业开办＋用电服务政务协同</t>
  </si>
  <si>
    <t xml:space="preserve">政务数据对接＋一件事智能体</t>
  </si>
  <si>
    <r>
      <rPr>
        <sz val="10"/>
        <rFont val="Noto Sans CJK SC"/>
        <family val="2"/>
      </rPr>
      <t xml:space="preserve">南宁已落地</t>
    </r>
    <r>
      <rPr>
        <sz val="10"/>
        <rFont val="Arial"/>
        <family val="0"/>
        <charset val="1"/>
      </rPr>
      <t xml:space="preserve">AI</t>
    </r>
    <r>
      <rPr>
        <sz val="10"/>
        <rFont val="Noto Sans CJK SC"/>
        <family val="2"/>
      </rPr>
      <t xml:space="preserve">政务用电场景，可复制</t>
    </r>
  </si>
  <si>
    <t xml:space="preserve">安全监管部</t>
  </si>
  <si>
    <t xml:space="preserve">隐患管理</t>
  </si>
  <si>
    <t xml:space="preserve">隐患排查专责</t>
  </si>
  <si>
    <t xml:space="preserve">安全生产隐患排查闭环与复发预警</t>
  </si>
  <si>
    <t xml:space="preserve">文本归类＋复发预测</t>
  </si>
  <si>
    <t xml:space="preserve">高频</t>
  </si>
  <si>
    <t xml:space="preserve">承包商管理</t>
  </si>
  <si>
    <t xml:space="preserve">外包管理专责</t>
  </si>
  <si>
    <t xml:space="preserve">承包商资质与作业人员到岗身份核验</t>
  </si>
  <si>
    <t xml:space="preserve">人脸识别＋资质库比对</t>
  </si>
  <si>
    <t xml:space="preserve">协作单位人员流动大，是高风险口</t>
  </si>
  <si>
    <t xml:space="preserve">投资计划</t>
  </si>
  <si>
    <t xml:space="preserve">计划统计专责</t>
  </si>
  <si>
    <t xml:space="preserve">投资完成率跟踪与偏差归因分析</t>
  </si>
  <si>
    <t xml:space="preserve">进度预测＋偏差归因</t>
  </si>
  <si>
    <t xml:space="preserve">年初冲开门红的核心抓手</t>
  </si>
  <si>
    <t xml:space="preserve">综合统计</t>
  </si>
  <si>
    <t xml:space="preserve">统计专责</t>
  </si>
  <si>
    <t xml:space="preserve">电网发展指标统计与报表自动编制</t>
  </si>
  <si>
    <t xml:space="preserve">数据抽取＋报表生成</t>
  </si>
  <si>
    <t xml:space="preserve">纯人力替代，落地最快</t>
  </si>
  <si>
    <t xml:space="preserve">数字化部（信息中心）</t>
  </si>
  <si>
    <t xml:space="preserve">数据管理</t>
  </si>
  <si>
    <t xml:space="preserve">数据管理专责</t>
  </si>
  <si>
    <t xml:space="preserve">数据质量治理与主数据一致性核验</t>
  </si>
  <si>
    <t xml:space="preserve">规则引擎＋异常检测</t>
  </si>
  <si>
    <r>
      <rPr>
        <sz val="10"/>
        <rFont val="Noto Sans CJK SC"/>
        <family val="2"/>
      </rPr>
      <t xml:space="preserve">所有</t>
    </r>
    <r>
      <rPr>
        <sz val="10"/>
        <rFont val="Arial"/>
        <family val="0"/>
        <charset val="1"/>
      </rPr>
      <t xml:space="preserve">AI</t>
    </r>
    <r>
      <rPr>
        <sz val="10"/>
        <rFont val="Noto Sans CJK SC"/>
        <family val="2"/>
      </rPr>
      <t xml:space="preserve">场景的前置条件</t>
    </r>
  </si>
  <si>
    <t xml:space="preserve">招标管理</t>
  </si>
  <si>
    <t xml:space="preserve">招标专责</t>
  </si>
  <si>
    <t xml:space="preserve">招标文件与技术规范书智能生成</t>
  </si>
  <si>
    <r>
      <rPr>
        <sz val="10"/>
        <rFont val="Noto Sans CJK SC"/>
        <family val="2"/>
      </rPr>
      <t xml:space="preserve">模板库＋</t>
    </r>
    <r>
      <rPr>
        <sz val="10"/>
        <rFont val="Arial"/>
        <family val="0"/>
        <charset val="1"/>
      </rPr>
      <t xml:space="preserve">RAG</t>
    </r>
    <r>
      <rPr>
        <sz val="10"/>
        <rFont val="Noto Sans CJK SC"/>
        <family val="2"/>
      </rPr>
      <t xml:space="preserve">生成</t>
    </r>
  </si>
  <si>
    <t xml:space="preserve">高频文档，替代效果直观</t>
  </si>
  <si>
    <t xml:space="preserve">电力调度控制中心（省调）</t>
  </si>
  <si>
    <t xml:space="preserve">新能源调度</t>
  </si>
  <si>
    <t xml:space="preserve">新能源调度专责</t>
  </si>
  <si>
    <t xml:space="preserve">风电光伏功率预测与出力偏差修正</t>
  </si>
  <si>
    <t xml:space="preserve">数值天气预报＋深度时序模型</t>
  </si>
  <si>
    <r>
      <rPr>
        <sz val="10"/>
        <rFont val="Noto Sans CJK SC"/>
        <family val="2"/>
      </rPr>
      <t xml:space="preserve">广西新能源装机占比超</t>
    </r>
    <r>
      <rPr>
        <sz val="10"/>
        <rFont val="Arial"/>
        <family val="0"/>
        <charset val="1"/>
      </rPr>
      <t xml:space="preserve">50%</t>
    </r>
    <r>
      <rPr>
        <sz val="10"/>
        <rFont val="Noto Sans CJK SC"/>
        <family val="2"/>
      </rPr>
      <t xml:space="preserve">，偏差成本高</t>
    </r>
  </si>
  <si>
    <t xml:space="preserve">经营管理</t>
  </si>
  <si>
    <t xml:space="preserve">经营分析专责</t>
  </si>
  <si>
    <t xml:space="preserve">经营指标实时监控与预警</t>
  </si>
  <si>
    <t xml:space="preserve">指标看板＋异常预警</t>
  </si>
  <si>
    <t xml:space="preserve">面向班子决策</t>
  </si>
  <si>
    <t xml:space="preserve">工程管理</t>
  </si>
  <si>
    <t xml:space="preserve">工程管理专责</t>
  </si>
  <si>
    <t xml:space="preserve">工程进度智能管控与影像进度比对</t>
  </si>
  <si>
    <t xml:space="preserve">无人机影像＋进度识别</t>
  </si>
  <si>
    <t xml:space="preserve">投资完成率是硬考核</t>
  </si>
  <si>
    <t xml:space="preserve">生产技术</t>
  </si>
  <si>
    <t xml:space="preserve">县域生产专责</t>
  </si>
  <si>
    <t xml:space="preserve">县域负荷增长与分布式新能源接入管理</t>
  </si>
  <si>
    <t xml:space="preserve">承载力评估＋接入序位优化</t>
  </si>
  <si>
    <t xml:space="preserve">县域分布式渗透率快速上升</t>
  </si>
  <si>
    <t xml:space="preserve">广西电科院</t>
  </si>
  <si>
    <t xml:space="preserve">电能质量</t>
  </si>
  <si>
    <t xml:space="preserve">电能质量工程师</t>
  </si>
  <si>
    <t xml:space="preserve">电能质量监测、溯源与治理</t>
  </si>
  <si>
    <t xml:space="preserve">谐波溯源＋扰动分类</t>
  </si>
  <si>
    <t xml:space="preserve">新能源与冲击负荷带来新需求</t>
  </si>
  <si>
    <t xml:space="preserve">计量新业务</t>
  </si>
  <si>
    <t xml:space="preserve">电碳计量专责</t>
  </si>
  <si>
    <t xml:space="preserve">电碳计量与用户碳排核算</t>
  </si>
  <si>
    <t xml:space="preserve">电碳因子模型＋核算引擎</t>
  </si>
  <si>
    <t xml:space="preserve">南宁供电局已完成广西首个试点，具备扩面基础</t>
  </si>
  <si>
    <t xml:space="preserve">应用运维</t>
  </si>
  <si>
    <t xml:space="preserve">运维专责</t>
  </si>
  <si>
    <t xml:space="preserve">应用运维工单处理与故障根因定位</t>
  </si>
  <si>
    <t xml:space="preserve">日志分析＋根因定位模型</t>
  </si>
  <si>
    <r>
      <rPr>
        <sz val="10"/>
        <rFont val="Arial"/>
        <family val="0"/>
        <charset val="1"/>
      </rPr>
      <t xml:space="preserve">AIOps</t>
    </r>
    <r>
      <rPr>
        <sz val="10"/>
        <rFont val="Noto Sans CJK SC"/>
        <family val="2"/>
      </rPr>
      <t xml:space="preserve">，技术成熟度高</t>
    </r>
  </si>
  <si>
    <t xml:space="preserve">试验专责</t>
  </si>
  <si>
    <t xml:space="preserve">变压器油色谱与局部放电异常诊断</t>
  </si>
  <si>
    <t xml:space="preserve">时序异常检测＋故障模式分类</t>
  </si>
  <si>
    <t xml:space="preserve">主设备防非计划停运，单次避损额大</t>
  </si>
  <si>
    <t xml:space="preserve">调度计划</t>
  </si>
  <si>
    <t xml:space="preserve">负荷预测专责</t>
  </si>
  <si>
    <t xml:space="preserve">系统短期与超短期负荷预测</t>
  </si>
  <si>
    <t xml:space="preserve">时序预测＋气象特征融合</t>
  </si>
  <si>
    <r>
      <rPr>
        <sz val="10"/>
        <rFont val="Noto Sans CJK SC"/>
        <family val="2"/>
      </rPr>
      <t xml:space="preserve">南网已投运</t>
    </r>
    <r>
      <rPr>
        <sz val="10"/>
        <rFont val="Arial"/>
        <family val="0"/>
        <charset val="1"/>
      </rPr>
      <t xml:space="preserve">AI</t>
    </r>
    <r>
      <rPr>
        <sz val="10"/>
        <rFont val="Noto Sans CJK SC"/>
        <family val="2"/>
      </rPr>
      <t xml:space="preserve">负荷预测平台，省级重复建设价值低</t>
    </r>
  </si>
  <si>
    <t xml:space="preserve">办公室</t>
  </si>
  <si>
    <t xml:space="preserve">督查督办</t>
  </si>
  <si>
    <t xml:space="preserve">督办专责</t>
  </si>
  <si>
    <t xml:space="preserve">领导批示与督办事项闭环管理</t>
  </si>
  <si>
    <t xml:space="preserve">任务抽取＋进度智能体</t>
  </si>
  <si>
    <t xml:space="preserve">管理效能类</t>
  </si>
  <si>
    <r>
      <rPr>
        <sz val="10"/>
        <rFont val="Arial"/>
        <family val="0"/>
        <charset val="1"/>
      </rPr>
      <t xml:space="preserve">95598</t>
    </r>
    <r>
      <rPr>
        <sz val="10"/>
        <rFont val="Noto Sans CJK SC"/>
        <family val="2"/>
      </rPr>
      <t xml:space="preserve">业务支持岗</t>
    </r>
  </si>
  <si>
    <t xml:space="preserve">客户工单受理、智能派单与超时预警</t>
  </si>
  <si>
    <t xml:space="preserve">意图识别＋工单路由模型</t>
  </si>
  <si>
    <t xml:space="preserve">南网统一客服体系已覆盖大部分</t>
  </si>
  <si>
    <t xml:space="preserve">基础设施</t>
  </si>
  <si>
    <t xml:space="preserve">监控专责</t>
  </si>
  <si>
    <t xml:space="preserve">系统性能监控与容量预测</t>
  </si>
  <si>
    <t xml:space="preserve">时序预测＋容量规划</t>
  </si>
  <si>
    <t xml:space="preserve">技术成熟</t>
  </si>
  <si>
    <t xml:space="preserve">法律事务部（合规）</t>
  </si>
  <si>
    <t xml:space="preserve">合同管理</t>
  </si>
  <si>
    <t xml:space="preserve">法务专责</t>
  </si>
  <si>
    <t xml:space="preserve">各类合同法律风险智能审查</t>
  </si>
  <si>
    <t xml:space="preserve">条款抽取＋风险规则库＋大模型</t>
  </si>
  <si>
    <t xml:space="preserve">可跨物资、基建、营销复用</t>
  </si>
  <si>
    <t xml:space="preserve">采购计划</t>
  </si>
  <si>
    <t xml:space="preserve">采购计划专责</t>
  </si>
  <si>
    <t xml:space="preserve">采购需求归集与批次计划编制</t>
  </si>
  <si>
    <t xml:space="preserve">需求聚合＋批次优化</t>
  </si>
  <si>
    <t xml:space="preserve">框架与整合专项采购节奏强</t>
  </si>
  <si>
    <t xml:space="preserve">供应商管理</t>
  </si>
  <si>
    <t xml:space="preserve">供应商管理专责</t>
  </si>
  <si>
    <t xml:space="preserve">供应商资质、业绩与关联关系核验</t>
  </si>
  <si>
    <t xml:space="preserve">工商数据图谱＋关联识别</t>
  </si>
  <si>
    <t xml:space="preserve">可识别围标串标风险信号</t>
  </si>
  <si>
    <t xml:space="preserve">质量监督</t>
  </si>
  <si>
    <t xml:space="preserve">质量监督专责</t>
  </si>
  <si>
    <t xml:space="preserve">到货验收与质量抽检智能管理</t>
  </si>
  <si>
    <t xml:space="preserve">影像验收＋抽检抽样优化</t>
  </si>
  <si>
    <t xml:space="preserve">与入网检测联动</t>
  </si>
  <si>
    <t xml:space="preserve">合同专责</t>
  </si>
  <si>
    <t xml:space="preserve">采购合同条款审查与风险提示</t>
  </si>
  <si>
    <t xml:space="preserve">条款抽取＋风险规则库</t>
  </si>
  <si>
    <t xml:space="preserve">可复用法律部能力</t>
  </si>
  <si>
    <t xml:space="preserve">价格管理</t>
  </si>
  <si>
    <t xml:space="preserve">价格专责</t>
  </si>
  <si>
    <t xml:space="preserve">采购价格与市场行情比对分析</t>
  </si>
  <si>
    <t xml:space="preserve">价格库＋异常价识别</t>
  </si>
  <si>
    <t xml:space="preserve">直接压降采购成本</t>
  </si>
  <si>
    <t xml:space="preserve">物资协同</t>
  </si>
  <si>
    <t xml:space="preserve">备品备件专责</t>
  </si>
  <si>
    <t xml:space="preserve">备品备件需求预测与储备优化</t>
  </si>
  <si>
    <t xml:space="preserve">需求预测＋库存优化</t>
  </si>
  <si>
    <t xml:space="preserve">跨物资部协同</t>
  </si>
  <si>
    <t xml:space="preserve">调度运行</t>
  </si>
  <si>
    <t xml:space="preserve">值班调度员</t>
  </si>
  <si>
    <t xml:space="preserve">调度指令录音转写与复诵一致性核对</t>
  </si>
  <si>
    <t xml:space="preserve">语音识别＋语义一致性比对</t>
  </si>
  <si>
    <t xml:space="preserve">独立性好、技术成熟，可作为切入试点</t>
  </si>
  <si>
    <t xml:space="preserve">文秘</t>
  </si>
  <si>
    <t xml:space="preserve">公文处理岗</t>
  </si>
  <si>
    <t xml:space="preserve">公文流转、拟稿与格式合规校验</t>
  </si>
  <si>
    <t xml:space="preserve">大模型写作＋公文规范校验</t>
  </si>
  <si>
    <t xml:space="preserve">高频，但属通用能力</t>
  </si>
  <si>
    <t xml:space="preserve">会务</t>
  </si>
  <si>
    <t xml:space="preserve">会务管理岗</t>
  </si>
  <si>
    <t xml:space="preserve">会议纪要生成与议题跟踪</t>
  </si>
  <si>
    <t xml:space="preserve">语音转写＋纪要生成</t>
  </si>
  <si>
    <t xml:space="preserve">已被通用工具覆盖</t>
  </si>
  <si>
    <t xml:space="preserve">市场分析</t>
  </si>
  <si>
    <t xml:space="preserve">市场分析专责</t>
  </si>
  <si>
    <t xml:space="preserve">现货出清结果分析与节点电价研判</t>
  </si>
  <si>
    <t xml:space="preserve">节点电价预测＋归因分析</t>
  </si>
  <si>
    <t xml:space="preserve">现货连续结算后成为高频刚需</t>
  </si>
  <si>
    <t xml:space="preserve">系统运行</t>
  </si>
  <si>
    <t xml:space="preserve">地市方式专责</t>
  </si>
  <si>
    <t xml:space="preserve">地市负荷预测与迎峰度夏保供方案</t>
  </si>
  <si>
    <t xml:space="preserve">分区负荷预测＋供需平衡推演</t>
  </si>
  <si>
    <r>
      <rPr>
        <sz val="10"/>
        <rFont val="Noto Sans CJK SC"/>
        <family val="2"/>
      </rPr>
      <t xml:space="preserve">负荷已创</t>
    </r>
    <r>
      <rPr>
        <sz val="10"/>
        <rFont val="Arial"/>
        <family val="0"/>
        <charset val="1"/>
      </rPr>
      <t xml:space="preserve">3617.5</t>
    </r>
    <r>
      <rPr>
        <sz val="10"/>
        <rFont val="Noto Sans CJK SC"/>
        <family val="2"/>
      </rPr>
      <t xml:space="preserve">万千瓦新高</t>
    </r>
  </si>
  <si>
    <t xml:space="preserve">造价管理</t>
  </si>
  <si>
    <t xml:space="preserve">造价专责</t>
  </si>
  <si>
    <t xml:space="preserve">工程造价审核与限额设计校核</t>
  </si>
  <si>
    <t xml:space="preserve">定额知识库＋异常项识别</t>
  </si>
  <si>
    <t xml:space="preserve">直接压降工程支出</t>
  </si>
  <si>
    <t xml:space="preserve">变更签证专责</t>
  </si>
  <si>
    <t xml:space="preserve">设计变更与现场签证合理性审查</t>
  </si>
  <si>
    <t xml:space="preserve">历史签证比对＋异常识别</t>
  </si>
  <si>
    <t xml:space="preserve">变更签证是审计与廉洁高风险区</t>
  </si>
  <si>
    <t xml:space="preserve">安全监督</t>
  </si>
  <si>
    <t xml:space="preserve">安监专责</t>
  </si>
  <si>
    <t xml:space="preserve">工作票操作票审核与作业风险辨识</t>
  </si>
  <si>
    <t xml:space="preserve">票面规则校验＋风险知识图谱</t>
  </si>
  <si>
    <t xml:space="preserve">两票是安全生产核心载体</t>
  </si>
  <si>
    <t xml:space="preserve">现场管控</t>
  </si>
  <si>
    <t xml:space="preserve">作业监护专责</t>
  </si>
  <si>
    <t xml:space="preserve">高空、带电、动火作业智能监护</t>
  </si>
  <si>
    <t xml:space="preserve">视觉行为识别＋实时告警</t>
  </si>
  <si>
    <t xml:space="preserve">可与基建违章识别复用同一底座</t>
  </si>
  <si>
    <t xml:space="preserve">市场交易</t>
  </si>
  <si>
    <t xml:space="preserve">代购电专责</t>
  </si>
  <si>
    <t xml:space="preserve">代理购电电量预测与结算复核</t>
  </si>
  <si>
    <t xml:space="preserve">负荷预测＋结算规则引擎</t>
  </si>
  <si>
    <t xml:space="preserve">价差直接影响经营效益</t>
  </si>
  <si>
    <t xml:space="preserve">交易组织</t>
  </si>
  <si>
    <t xml:space="preserve">交易组织专责</t>
  </si>
  <si>
    <t xml:space="preserve">中长期交易组织、撮合与曲线分解</t>
  </si>
  <si>
    <t xml:space="preserve">优化撮合＋曲线分解算法</t>
  </si>
  <si>
    <t xml:space="preserve">年度签约比例有硬性约束</t>
  </si>
  <si>
    <t xml:space="preserve">偏差管理专责</t>
  </si>
  <si>
    <t xml:space="preserve">偏差考核核算与争议处理</t>
  </si>
  <si>
    <t xml:space="preserve">偏差归因＋规则解释</t>
  </si>
  <si>
    <t xml:space="preserve">主体申诉量大</t>
  </si>
  <si>
    <t xml:space="preserve">资料管理岗</t>
  </si>
  <si>
    <t xml:space="preserve">竣工资料归档与合规性自动校验</t>
  </si>
  <si>
    <r>
      <rPr>
        <sz val="10"/>
        <rFont val="Arial"/>
        <family val="0"/>
        <charset val="1"/>
      </rPr>
      <t xml:space="preserve">OCR</t>
    </r>
    <r>
      <rPr>
        <sz val="10"/>
        <rFont val="Noto Sans CJK SC"/>
        <family val="2"/>
      </rPr>
      <t xml:space="preserve">＋清单符合性校验</t>
    </r>
  </si>
  <si>
    <t xml:space="preserve">高频重复劳动，替代率高</t>
  </si>
  <si>
    <t xml:space="preserve">质量管理</t>
  </si>
  <si>
    <t xml:space="preserve">质检专责</t>
  </si>
  <si>
    <t xml:space="preserve">服务质量全量质检与坐席辅导</t>
  </si>
  <si>
    <t xml:space="preserve">语音质检＋话术评分</t>
  </si>
  <si>
    <t xml:space="preserve">由抽检转全检</t>
  </si>
  <si>
    <t xml:space="preserve">服务质量专责</t>
  </si>
  <si>
    <t xml:space="preserve">投诉根因聚类分析与主动回访</t>
  </si>
  <si>
    <t xml:space="preserve">文本聚类＋根因归纳大模型</t>
  </si>
  <si>
    <t xml:space="preserve">可与满意度指标挂钩</t>
  </si>
  <si>
    <t xml:space="preserve">市场管理</t>
  </si>
  <si>
    <t xml:space="preserve">市场注册专责</t>
  </si>
  <si>
    <t xml:space="preserve">市场主体注册与资质合规审核</t>
  </si>
  <si>
    <r>
      <rPr>
        <sz val="10"/>
        <rFont val="Noto Sans CJK SC"/>
        <family val="2"/>
      </rPr>
      <t xml:space="preserve">资料</t>
    </r>
    <r>
      <rPr>
        <sz val="10"/>
        <rFont val="Arial"/>
        <family val="0"/>
        <charset val="1"/>
      </rPr>
      <t xml:space="preserve">OCR</t>
    </r>
    <r>
      <rPr>
        <sz val="10"/>
        <rFont val="Noto Sans CJK SC"/>
        <family val="2"/>
      </rPr>
      <t xml:space="preserve">＋规则校验</t>
    </r>
  </si>
  <si>
    <r>
      <rPr>
        <sz val="10"/>
        <rFont val="Noto Sans CJK SC"/>
        <family val="2"/>
      </rPr>
      <t xml:space="preserve">主体数一年增长</t>
    </r>
    <r>
      <rPr>
        <sz val="10"/>
        <rFont val="Arial"/>
        <family val="0"/>
        <charset val="1"/>
      </rPr>
      <t xml:space="preserve">68.44%</t>
    </r>
    <r>
      <rPr>
        <sz val="10"/>
        <rFont val="Noto Sans CJK SC"/>
        <family val="2"/>
      </rPr>
      <t xml:space="preserve">，工作量激增</t>
    </r>
  </si>
  <si>
    <t xml:space="preserve">政策研究</t>
  </si>
  <si>
    <t xml:space="preserve">政策研究专责</t>
  </si>
  <si>
    <t xml:space="preserve">区域经济与用电量关联分析</t>
  </si>
  <si>
    <t xml:space="preserve">多源数据回归＋归因分析</t>
  </si>
  <si>
    <t xml:space="preserve">支撑增供扩销判断</t>
  </si>
  <si>
    <t xml:space="preserve">资产管理</t>
  </si>
  <si>
    <t xml:space="preserve">计量资产专责</t>
  </si>
  <si>
    <t xml:space="preserve">计量资产全寿命周期与轮换管理</t>
  </si>
  <si>
    <t xml:space="preserve">寿命预测＋轮换优化</t>
  </si>
  <si>
    <t xml:space="preserve">与营销计量场景联动</t>
  </si>
  <si>
    <t xml:space="preserve">农电管理</t>
  </si>
  <si>
    <t xml:space="preserve">农网项目专责</t>
  </si>
  <si>
    <t xml:space="preserve">农村电网改造项目管理与成效评估</t>
  </si>
  <si>
    <t xml:space="preserve">项目画像＋投资成效评估</t>
  </si>
  <si>
    <t xml:space="preserve">乡村振兴政策资金驱动</t>
  </si>
  <si>
    <t xml:space="preserve">工程物资专责</t>
  </si>
  <si>
    <t xml:space="preserve">工程物资到货、领用与现场协同</t>
  </si>
  <si>
    <t xml:space="preserve">计划协同＋需求预测</t>
  </si>
  <si>
    <t xml:space="preserve">跨物资部与施工单位</t>
  </si>
  <si>
    <t xml:space="preserve">资金管理</t>
  </si>
  <si>
    <t xml:space="preserve">资金专责</t>
  </si>
  <si>
    <t xml:space="preserve">资金计划与现金流预测</t>
  </si>
  <si>
    <t xml:space="preserve">时序预测＋收支归集</t>
  </si>
  <si>
    <t xml:space="preserve">电费现金流稳定，预测精度可期</t>
  </si>
  <si>
    <t xml:space="preserve">成本管理</t>
  </si>
  <si>
    <t xml:space="preserve">成本专责</t>
  </si>
  <si>
    <t xml:space="preserve">成本归集与降本空间分析</t>
  </si>
  <si>
    <t xml:space="preserve">成本动因分析＋对标模型</t>
  </si>
  <si>
    <t xml:space="preserve">国资委降本增效考核</t>
  </si>
  <si>
    <t xml:space="preserve">结算管理</t>
  </si>
  <si>
    <t xml:space="preserve">供应商结算与付款合规审核</t>
  </si>
  <si>
    <r>
      <rPr>
        <sz val="10"/>
        <rFont val="Noto Sans CJK SC"/>
        <family val="2"/>
      </rPr>
      <t xml:space="preserve">合同</t>
    </r>
    <r>
      <rPr>
        <sz val="10"/>
        <rFont val="Arial"/>
        <family val="0"/>
        <charset val="1"/>
      </rPr>
      <t xml:space="preserve">-</t>
    </r>
    <r>
      <rPr>
        <sz val="10"/>
        <rFont val="Noto Sans CJK SC"/>
        <family val="2"/>
      </rPr>
      <t xml:space="preserve">发票</t>
    </r>
    <r>
      <rPr>
        <sz val="10"/>
        <rFont val="Arial"/>
        <family val="0"/>
        <charset val="1"/>
      </rPr>
      <t xml:space="preserve">-</t>
    </r>
    <r>
      <rPr>
        <sz val="10"/>
        <rFont val="Noto Sans CJK SC"/>
        <family val="2"/>
      </rPr>
      <t xml:space="preserve">验收三单匹配</t>
    </r>
  </si>
  <si>
    <t xml:space="preserve">高频重复劳动</t>
  </si>
  <si>
    <t xml:space="preserve">规划建设</t>
  </si>
  <si>
    <t xml:space="preserve">充电设施规划岗</t>
  </si>
  <si>
    <t xml:space="preserve">充电桩选址与配网负荷影响评估</t>
  </si>
  <si>
    <t xml:space="preserve">选址模型＋负荷影响仿真</t>
  </si>
  <si>
    <t xml:space="preserve">经营性业务，直接创收</t>
  </si>
  <si>
    <t xml:space="preserve">负荷聚合</t>
  </si>
  <si>
    <t xml:space="preserve">虚拟电厂运营岗</t>
  </si>
  <si>
    <t xml:space="preserve">虚拟电厂资源聚合与调用策略</t>
  </si>
  <si>
    <t xml:space="preserve">可调节负荷预测＋聚合优化</t>
  </si>
  <si>
    <t xml:space="preserve">需与调度深度协同</t>
  </si>
  <si>
    <t xml:space="preserve">培训评价中心</t>
  </si>
  <si>
    <t xml:space="preserve">题库管理</t>
  </si>
  <si>
    <t xml:space="preserve">题库管理岗</t>
  </si>
  <si>
    <t xml:space="preserve">题库建设、智能组卷与考试分析</t>
  </si>
  <si>
    <t xml:space="preserve">题目生成＋难度校准</t>
  </si>
  <si>
    <t xml:space="preserve">独立性好，经济价值弱</t>
  </si>
  <si>
    <t xml:space="preserve">安全培训</t>
  </si>
  <si>
    <t xml:space="preserve">安全培训专责</t>
  </si>
  <si>
    <t xml:space="preserve">安全培训、考试与题库管理</t>
  </si>
  <si>
    <t xml:space="preserve">题目生成＋自动组卷</t>
  </si>
  <si>
    <t xml:space="preserve">独立性好但价值口径弱</t>
  </si>
  <si>
    <t xml:space="preserve">需求管理</t>
  </si>
  <si>
    <t xml:space="preserve">需求管理专责</t>
  </si>
  <si>
    <t xml:space="preserve">业务系统需求受理、评估与排期</t>
  </si>
  <si>
    <t xml:space="preserve">需求分类＋工作量估算</t>
  </si>
  <si>
    <t xml:space="preserve">决定外部厂商的进入节奏</t>
  </si>
  <si>
    <t xml:space="preserve">诉讼管理</t>
  </si>
  <si>
    <t xml:space="preserve">诉讼专责</t>
  </si>
  <si>
    <t xml:space="preserve">诉讼案件管理与类案检索</t>
  </si>
  <si>
    <t xml:space="preserve">裁判文书检索＋类案推荐</t>
  </si>
  <si>
    <t xml:space="preserve">劳动与合同纠纷为主</t>
  </si>
  <si>
    <t xml:space="preserve">电力设施保护</t>
  </si>
  <si>
    <t xml:space="preserve">设施保护专责</t>
  </si>
  <si>
    <t xml:space="preserve">电力设施保护法律事务与外破索赔</t>
  </si>
  <si>
    <t xml:space="preserve">案件要素抽取＋索赔测算</t>
  </si>
  <si>
    <t xml:space="preserve">可与通道外破识别联动</t>
  </si>
  <si>
    <t xml:space="preserve">履约评价专责</t>
  </si>
  <si>
    <t xml:space="preserve">供应商履约评价与失信扣分管理</t>
  </si>
  <si>
    <t xml:space="preserve">多维评价模型</t>
  </si>
  <si>
    <t xml:space="preserve">平台已有失信扣分制度</t>
  </si>
  <si>
    <t xml:space="preserve">科技部</t>
  </si>
  <si>
    <t xml:space="preserve">知识产权</t>
  </si>
  <si>
    <t xml:space="preserve">专利管理岗</t>
  </si>
  <si>
    <t xml:space="preserve">专利挖掘、撰写与布局辅助</t>
  </si>
  <si>
    <t xml:space="preserve">技术交底书生成＋专利检索</t>
  </si>
  <si>
    <t xml:space="preserve">公司有中国专利奖履历，重视度高</t>
  </si>
  <si>
    <t xml:space="preserve">成果转化</t>
  </si>
  <si>
    <t xml:space="preserve">成果转化岗</t>
  </si>
  <si>
    <t xml:space="preserve">科技成果转化与推广价值评估</t>
  </si>
  <si>
    <t xml:space="preserve">技术成熟度评估＋市场测算</t>
  </si>
  <si>
    <t xml:space="preserve">可延伸对外经营</t>
  </si>
  <si>
    <t xml:space="preserve">审计部</t>
  </si>
  <si>
    <t xml:space="preserve">工程审计</t>
  </si>
  <si>
    <t xml:space="preserve">工程审计专责</t>
  </si>
  <si>
    <t xml:space="preserve">工程结算审计与虚增工程量识别</t>
  </si>
  <si>
    <t xml:space="preserve">造价知识库＋异常量价识别</t>
  </si>
  <si>
    <t xml:space="preserve">单笔核减金额大，收益直接</t>
  </si>
  <si>
    <t xml:space="preserve">停电管理</t>
  </si>
  <si>
    <t xml:space="preserve">综合停电专责</t>
  </si>
  <si>
    <t xml:space="preserve">停电计划优化与停电时户数压降</t>
  </si>
  <si>
    <t xml:space="preserve">组合优化＋影响面测算</t>
  </si>
  <si>
    <t xml:space="preserve">直接改善可靠性考核指标</t>
  </si>
  <si>
    <t xml:space="preserve">员工服务</t>
  </si>
  <si>
    <t xml:space="preserve">员工服务岗</t>
  </si>
  <si>
    <t xml:space="preserve">员工事项办理（社保、公积金、证明）</t>
  </si>
  <si>
    <t xml:space="preserve">流程智能体</t>
  </si>
  <si>
    <t xml:space="preserve">已被数字员工覆盖</t>
  </si>
  <si>
    <t xml:space="preserve">检定试验</t>
  </si>
  <si>
    <t xml:space="preserve">检定专责</t>
  </si>
  <si>
    <t xml:space="preserve">电能表检定与全性能试验管理</t>
  </si>
  <si>
    <t xml:space="preserve">机器视觉＋试验数据分析</t>
  </si>
  <si>
    <t xml:space="preserve">自动化检定线已成熟</t>
  </si>
  <si>
    <t xml:space="preserve">检测中心</t>
  </si>
  <si>
    <t xml:space="preserve">检测试验工程师</t>
  </si>
  <si>
    <t xml:space="preserve">设备入网检测与型式试验数据分析</t>
  </si>
  <si>
    <t xml:space="preserve">试验数据异常识别＋报告生成</t>
  </si>
  <si>
    <t xml:space="preserve">供应商准入的技术关口</t>
  </si>
  <si>
    <r>
      <rPr>
        <sz val="10"/>
        <rFont val="Arial"/>
        <family val="0"/>
        <charset val="1"/>
      </rPr>
      <t xml:space="preserve">AI</t>
    </r>
    <r>
      <rPr>
        <sz val="10"/>
        <rFont val="Noto Sans CJK SC"/>
        <family val="2"/>
      </rPr>
      <t xml:space="preserve">运营</t>
    </r>
  </si>
  <si>
    <t xml:space="preserve">智能体开发岗</t>
  </si>
  <si>
    <t xml:space="preserve">数字员工与业务智能体开发上线</t>
  </si>
  <si>
    <t xml:space="preserve">低代码智能体平台＋工作流编排</t>
  </si>
  <si>
    <t xml:space="preserve">南网已提供可视化搭建平台</t>
  </si>
  <si>
    <t xml:space="preserve">防灾减灾</t>
  </si>
  <si>
    <t xml:space="preserve">防灾专责</t>
  </si>
  <si>
    <t xml:space="preserve">覆冰、台风、雷击灾害预警与防御部署</t>
  </si>
  <si>
    <t xml:space="preserve">气象耦合＋设备风险图谱</t>
  </si>
  <si>
    <t xml:space="preserve">广西台风与雷区特征显著</t>
  </si>
  <si>
    <t xml:space="preserve">电缆管理</t>
  </si>
  <si>
    <t xml:space="preserve">电缆运维专责</t>
  </si>
  <si>
    <t xml:space="preserve">电缆隧道与廊道环境智能监测</t>
  </si>
  <si>
    <t xml:space="preserve">多传感融合＋异常预警</t>
  </si>
  <si>
    <t xml:space="preserve">城区电缆化率提升带来新需求</t>
  </si>
  <si>
    <t xml:space="preserve">检修管理</t>
  </si>
  <si>
    <t xml:space="preserve">检修策略专责</t>
  </si>
  <si>
    <t xml:space="preserve">由计划检修向状态检修的策略优化</t>
  </si>
  <si>
    <t xml:space="preserve">剩余寿命预测＋风险成本权衡</t>
  </si>
  <si>
    <t xml:space="preserve">直接压降运维支出</t>
  </si>
  <si>
    <t xml:space="preserve">税务管理</t>
  </si>
  <si>
    <t xml:space="preserve">税务专责</t>
  </si>
  <si>
    <t xml:space="preserve">税务申报与涉税风险扫描</t>
  </si>
  <si>
    <t xml:space="preserve">规则引擎＋异常识别</t>
  </si>
  <si>
    <t xml:space="preserve">罚没风险规避收益明确</t>
  </si>
  <si>
    <t xml:space="preserve">技能评价</t>
  </si>
  <si>
    <t xml:space="preserve">考评员</t>
  </si>
  <si>
    <t xml:space="preserve">技能等级评价与实操考评</t>
  </si>
  <si>
    <t xml:space="preserve">动作识别＋自动评分</t>
  </si>
  <si>
    <t xml:space="preserve">实操考评标准化难度高</t>
  </si>
  <si>
    <t xml:space="preserve">客户体验专责</t>
  </si>
  <si>
    <t xml:space="preserve">客户用电体验与满意度归因分析</t>
  </si>
  <si>
    <t xml:space="preserve">多源文本情感分析</t>
  </si>
  <si>
    <r>
      <rPr>
        <sz val="10"/>
        <rFont val="Noto Sans CJK SC"/>
        <family val="2"/>
      </rPr>
      <t xml:space="preserve">连续</t>
    </r>
    <r>
      <rPr>
        <sz val="10"/>
        <rFont val="Arial"/>
        <family val="0"/>
        <charset val="1"/>
      </rPr>
      <t xml:space="preserve">13</t>
    </r>
    <r>
      <rPr>
        <sz val="10"/>
        <rFont val="Noto Sans CJK SC"/>
        <family val="2"/>
      </rPr>
      <t xml:space="preserve">年满意度第一，守成需求</t>
    </r>
  </si>
  <si>
    <t xml:space="preserve">转供电治理专责</t>
  </si>
  <si>
    <t xml:space="preserve">转供电违规加价排查与整改跟踪</t>
  </si>
  <si>
    <t xml:space="preserve">电量比对＋异常识别</t>
  </si>
  <si>
    <t xml:space="preserve">政策性任务，阶段性高频</t>
  </si>
  <si>
    <t xml:space="preserve">政策研究与规划文本编写辅助</t>
  </si>
  <si>
    <r>
      <rPr>
        <sz val="10"/>
        <rFont val="Arial"/>
        <family val="0"/>
        <charset val="1"/>
      </rPr>
      <t xml:space="preserve">RAG</t>
    </r>
    <r>
      <rPr>
        <sz val="10"/>
        <rFont val="Noto Sans CJK SC"/>
        <family val="2"/>
      </rPr>
      <t xml:space="preserve">＋长文档生成</t>
    </r>
  </si>
  <si>
    <t xml:space="preserve">文本类，价值口径偏软</t>
  </si>
  <si>
    <t xml:space="preserve">发电计划专责</t>
  </si>
  <si>
    <t xml:space="preserve">日前发电计划与机组组合编制</t>
  </si>
  <si>
    <t xml:space="preserve">混合整数优化＋强化学习</t>
  </si>
  <si>
    <t xml:space="preserve">核心调度业务，需总部统一技术路线</t>
  </si>
  <si>
    <t xml:space="preserve">水电与新能源</t>
  </si>
  <si>
    <t xml:space="preserve">水电调度专责</t>
  </si>
  <si>
    <t xml:space="preserve">抽蓄与新型储能调用策略优化</t>
  </si>
  <si>
    <t xml:space="preserve">强化学习＋多目标优化</t>
  </si>
  <si>
    <t xml:space="preserve">价值高但属总部统建范畴</t>
  </si>
  <si>
    <t xml:space="preserve">市场监管</t>
  </si>
  <si>
    <t xml:space="preserve">市场力监测专责</t>
  </si>
  <si>
    <t xml:space="preserve">市场力监测与异常报价识别</t>
  </si>
  <si>
    <t xml:space="preserve">博弈行为识别＋异常检测</t>
  </si>
  <si>
    <t xml:space="preserve">监管属性强</t>
  </si>
  <si>
    <t xml:space="preserve">设备资产专责</t>
  </si>
  <si>
    <t xml:space="preserve">设备台账治理与资产全生命周期管理</t>
  </si>
  <si>
    <r>
      <rPr>
        <sz val="10"/>
        <rFont val="Noto Sans CJK SC"/>
        <family val="2"/>
      </rPr>
      <t xml:space="preserve">数据质量校验＋实物</t>
    </r>
    <r>
      <rPr>
        <sz val="10"/>
        <rFont val="Arial"/>
        <family val="0"/>
        <charset val="1"/>
      </rPr>
      <t xml:space="preserve">ID</t>
    </r>
    <r>
      <rPr>
        <sz val="10"/>
        <rFont val="Noto Sans CJK SC"/>
        <family val="2"/>
      </rPr>
      <t xml:space="preserve">匹配</t>
    </r>
  </si>
  <si>
    <t xml:space="preserve">账卡物一致率是审计常查项</t>
  </si>
  <si>
    <t xml:space="preserve">培训开发</t>
  </si>
  <si>
    <t xml:space="preserve">培训专责</t>
  </si>
  <si>
    <t xml:space="preserve">员工技能画像与培训路径推荐</t>
  </si>
  <si>
    <t xml:space="preserve">能力标签体系＋推荐算法</t>
  </si>
  <si>
    <t xml:space="preserve">支撑数字化转型人才储备</t>
  </si>
  <si>
    <t xml:space="preserve">用工管理</t>
  </si>
  <si>
    <t xml:space="preserve">用工专责</t>
  </si>
  <si>
    <t xml:space="preserve">劳动用工与外包用工合规审查</t>
  </si>
  <si>
    <t xml:space="preserve">规则校验＋风险提示</t>
  </si>
  <si>
    <t xml:space="preserve">协作单位用工风险高</t>
  </si>
  <si>
    <t xml:space="preserve">档案</t>
  </si>
  <si>
    <t xml:space="preserve">档案管理岗</t>
  </si>
  <si>
    <t xml:space="preserve">档案数字化、著录与智能检索</t>
  </si>
  <si>
    <r>
      <rPr>
        <sz val="10"/>
        <rFont val="Arial"/>
        <family val="0"/>
        <charset val="1"/>
      </rPr>
      <t xml:space="preserve">OCR</t>
    </r>
    <r>
      <rPr>
        <sz val="10"/>
        <rFont val="Noto Sans CJK SC"/>
        <family val="2"/>
      </rPr>
      <t xml:space="preserve">＋自动著录＋语义检索</t>
    </r>
  </si>
  <si>
    <t xml:space="preserve">一次性投入为主</t>
  </si>
  <si>
    <t xml:space="preserve">合规管理</t>
  </si>
  <si>
    <t xml:space="preserve">合规专责</t>
  </si>
  <si>
    <t xml:space="preserve">合规风险识别与内部制度审查</t>
  </si>
  <si>
    <t xml:space="preserve">制度冲突检测＋合规映射</t>
  </si>
  <si>
    <t xml:space="preserve">制度体量大</t>
  </si>
  <si>
    <t xml:space="preserve">内部审计</t>
  </si>
  <si>
    <t xml:space="preserve">审计专责</t>
  </si>
  <si>
    <t xml:space="preserve">内部审计疑点智能筛查</t>
  </si>
  <si>
    <t xml:space="preserve">规则引擎＋异常检测＋图关联</t>
  </si>
  <si>
    <t xml:space="preserve">可覆盖全量数据替代抽样</t>
  </si>
  <si>
    <t xml:space="preserve">需求侧管理</t>
  </si>
  <si>
    <t xml:space="preserve">需求响应专责</t>
  </si>
  <si>
    <t xml:space="preserve">需求响应与有序用电方案编制与执行</t>
  </si>
  <si>
    <t xml:space="preserve">负荷可调节潜力评估＋优化分配</t>
  </si>
  <si>
    <t xml:space="preserve">迎峰度夏刚需，跨调度协同</t>
  </si>
  <si>
    <t xml:space="preserve">投资计划专责</t>
  </si>
  <si>
    <t xml:space="preserve">投资计划编制与项目储备库管理</t>
  </si>
  <si>
    <t xml:space="preserve">项目优先级评分＋组合优化</t>
  </si>
  <si>
    <r>
      <rPr>
        <sz val="10"/>
        <rFont val="Noto Sans CJK SC"/>
        <family val="2"/>
      </rPr>
      <t xml:space="preserve">投资规模超</t>
    </r>
    <r>
      <rPr>
        <sz val="10"/>
        <rFont val="Arial"/>
        <family val="0"/>
        <charset val="1"/>
      </rPr>
      <t xml:space="preserve">180</t>
    </r>
    <r>
      <rPr>
        <sz val="10"/>
        <rFont val="Noto Sans CJK SC"/>
        <family val="2"/>
      </rPr>
      <t xml:space="preserve">亿，优化空间大</t>
    </r>
  </si>
  <si>
    <t xml:space="preserve">评标组织专责</t>
  </si>
  <si>
    <t xml:space="preserve">评标辅助与投标文件形式合规审查</t>
  </si>
  <si>
    <t xml:space="preserve">文档比对＋一致性检测</t>
  </si>
  <si>
    <t xml:space="preserve">廉洁敏感区，需强留痕</t>
  </si>
  <si>
    <t xml:space="preserve">检修计划专责</t>
  </si>
  <si>
    <t xml:space="preserve">检修计划平衡与停电冲突校验</t>
  </si>
  <si>
    <t xml:space="preserve">约束求解＋冲突检测</t>
  </si>
  <si>
    <t xml:space="preserve">跨生产、基建、营销多部门协同</t>
  </si>
  <si>
    <t xml:space="preserve">调度操作票编制与逻辑校核</t>
  </si>
  <si>
    <t xml:space="preserve">大模型生成＋规则约束校验</t>
  </si>
  <si>
    <t xml:space="preserve">可先在管理信息大区做离线辅助</t>
  </si>
  <si>
    <t xml:space="preserve">政企协调</t>
  </si>
  <si>
    <t xml:space="preserve">政企关系专责</t>
  </si>
  <si>
    <t xml:space="preserve">政企联动事项协调与政策对接</t>
  </si>
  <si>
    <t xml:space="preserve">政策库＋事项匹配</t>
  </si>
  <si>
    <t xml:space="preserve">强依赖政府侧协同</t>
  </si>
  <si>
    <t xml:space="preserve">招聘配置</t>
  </si>
  <si>
    <t xml:space="preserve">招聘专责</t>
  </si>
  <si>
    <t xml:space="preserve">简历筛选与岗位胜任力匹配</t>
  </si>
  <si>
    <t xml:space="preserve">简历解析＋岗位匹配模型</t>
  </si>
  <si>
    <t xml:space="preserve">社招批次少，频次低</t>
  </si>
  <si>
    <t xml:space="preserve">党建工作部</t>
  </si>
  <si>
    <t xml:space="preserve">组织管理</t>
  </si>
  <si>
    <t xml:space="preserve">党务专责</t>
  </si>
  <si>
    <t xml:space="preserve">党建业务融合与党员信息管理</t>
  </si>
  <si>
    <t xml:space="preserve">流程智能体＋台账生成</t>
  </si>
  <si>
    <t xml:space="preserve">价值口径弱</t>
  </si>
  <si>
    <t xml:space="preserve">课程开发</t>
  </si>
  <si>
    <t xml:space="preserve">培训师</t>
  </si>
  <si>
    <t xml:space="preserve">培训课程开发与仿真实训场景建设</t>
  </si>
  <si>
    <r>
      <rPr>
        <sz val="10"/>
        <rFont val="Noto Sans CJK SC"/>
        <family val="2"/>
      </rPr>
      <t xml:space="preserve">内容生成＋</t>
    </r>
    <r>
      <rPr>
        <sz val="10"/>
        <rFont val="Arial"/>
        <family val="0"/>
        <charset val="1"/>
      </rPr>
      <t xml:space="preserve">VR/</t>
    </r>
    <r>
      <rPr>
        <sz val="10"/>
        <rFont val="Noto Sans CJK SC"/>
        <family val="2"/>
      </rPr>
      <t xml:space="preserve">仿真场景</t>
    </r>
  </si>
  <si>
    <t xml:space="preserve">可与调度、检修仿真复用</t>
  </si>
  <si>
    <t xml:space="preserve">工会</t>
  </si>
  <si>
    <t xml:space="preserve">职工服务</t>
  </si>
  <si>
    <t xml:space="preserve">工会干事</t>
  </si>
  <si>
    <t xml:space="preserve">员工帮扶与工会服务事项办理</t>
  </si>
  <si>
    <t xml:space="preserve">诊断中心</t>
  </si>
  <si>
    <t xml:space="preserve">诊断工程师</t>
  </si>
  <si>
    <t xml:space="preserve">设备故障诊断与失效原因分析</t>
  </si>
  <si>
    <t xml:space="preserve">多物理量融合诊断模型</t>
  </si>
  <si>
    <t xml:space="preserve">疑难杂症，专家经验沉淀价值高</t>
  </si>
  <si>
    <t xml:space="preserve">配网规划</t>
  </si>
  <si>
    <t xml:space="preserve">配网规划专责</t>
  </si>
  <si>
    <t xml:space="preserve">配网网架规划方案自动生成</t>
  </si>
  <si>
    <t xml:space="preserve">网架生成算法＋规划智能体</t>
  </si>
  <si>
    <t xml:space="preserve">南网已有配网规划智能体，可做区域适配</t>
  </si>
  <si>
    <t xml:space="preserve">设备状态</t>
  </si>
  <si>
    <t xml:space="preserve">状态评价专责</t>
  </si>
  <si>
    <t xml:space="preserve">设备健康度评估与状态评价</t>
  </si>
  <si>
    <t xml:space="preserve">多源特征融合＋健康指数建模</t>
  </si>
  <si>
    <t xml:space="preserve">支撑状态检修转型</t>
  </si>
  <si>
    <t xml:space="preserve">科技项目管理岗</t>
  </si>
  <si>
    <t xml:space="preserve">科技项目立项查新与可行性评估</t>
  </si>
  <si>
    <t xml:space="preserve">文献检索＋查新报告生成</t>
  </si>
  <si>
    <t xml:space="preserve">低频</t>
  </si>
  <si>
    <t xml:space="preserve">标准管理</t>
  </si>
  <si>
    <t xml:space="preserve">标准管理岗</t>
  </si>
  <si>
    <t xml:space="preserve">技术标准编制与差异比对</t>
  </si>
  <si>
    <t xml:space="preserve">标准库＋条款比对</t>
  </si>
  <si>
    <t xml:space="preserve">薪酬绩效</t>
  </si>
  <si>
    <t xml:space="preserve">绩效专责</t>
  </si>
  <si>
    <t xml:space="preserve">绩效考核数据归集与核算</t>
  </si>
  <si>
    <t xml:space="preserve">多源取数＋规则计算</t>
  </si>
  <si>
    <t xml:space="preserve">跨全部门取数</t>
  </si>
  <si>
    <t xml:space="preserve">定员定编专责</t>
  </si>
  <si>
    <t xml:space="preserve">人力编制与定员测算</t>
  </si>
  <si>
    <t xml:space="preserve">工作量测算模型</t>
  </si>
  <si>
    <t xml:space="preserve">降本增效背景下需求上升</t>
  </si>
  <si>
    <t xml:space="preserve">线路设计管理</t>
  </si>
  <si>
    <t xml:space="preserve">设计管理专责</t>
  </si>
  <si>
    <t xml:space="preserve">输电线路路径智能选线与优化</t>
  </si>
  <si>
    <t xml:space="preserve">遥感影像＋多约束路径优化</t>
  </si>
  <si>
    <t xml:space="preserve">可显著压降征拆与造价</t>
  </si>
  <si>
    <t xml:space="preserve">会计核算</t>
  </si>
  <si>
    <t xml:space="preserve">报表会计</t>
  </si>
  <si>
    <t xml:space="preserve">财务报表合并与经营分析</t>
  </si>
  <si>
    <t xml:space="preserve">自动取数＋分析文本生成</t>
  </si>
  <si>
    <t xml:space="preserve">内部管理类</t>
  </si>
  <si>
    <t xml:space="preserve">项目前期</t>
  </si>
  <si>
    <t xml:space="preserve">前期专责</t>
  </si>
  <si>
    <t xml:space="preserve">可研与初步设计文件智能评审</t>
  </si>
  <si>
    <t xml:space="preserve">文档解析＋规范符合性检查</t>
  </si>
  <si>
    <r>
      <rPr>
        <sz val="10"/>
        <rFont val="Arial"/>
        <family val="0"/>
        <charset val="1"/>
      </rPr>
      <t xml:space="preserve">230</t>
    </r>
    <r>
      <rPr>
        <sz val="10"/>
        <rFont val="Noto Sans CJK SC"/>
        <family val="2"/>
      </rPr>
      <t xml:space="preserve">项重点工程带来高文档量</t>
    </r>
  </si>
  <si>
    <t xml:space="preserve">站址规划专责</t>
  </si>
  <si>
    <t xml:space="preserve">变电站站址比选与评估</t>
  </si>
  <si>
    <r>
      <rPr>
        <sz val="10"/>
        <rFont val="Noto Sans CJK SC"/>
        <family val="2"/>
      </rPr>
      <t xml:space="preserve">多准则决策＋</t>
    </r>
    <r>
      <rPr>
        <sz val="10"/>
        <rFont val="Arial"/>
        <family val="0"/>
        <charset val="1"/>
      </rPr>
      <t xml:space="preserve">GIS</t>
    </r>
    <r>
      <rPr>
        <sz val="10"/>
        <rFont val="Noto Sans CJK SC"/>
        <family val="2"/>
      </rPr>
      <t xml:space="preserve">空间分析</t>
    </r>
  </si>
  <si>
    <t xml:space="preserve">低频高值</t>
  </si>
  <si>
    <t xml:space="preserve">网络安全</t>
  </si>
  <si>
    <t xml:space="preserve">网络安全专责</t>
  </si>
  <si>
    <t xml:space="preserve">网络安全态势感知与告警研判</t>
  </si>
  <si>
    <t xml:space="preserve">威胁检测＋告警降噪</t>
  </si>
  <si>
    <t xml:space="preserve">涉密等级最高，外部准入难</t>
  </si>
  <si>
    <r>
      <rPr>
        <sz val="10"/>
        <rFont val="Arial"/>
        <family val="0"/>
        <charset val="1"/>
      </rPr>
      <t xml:space="preserve">AI</t>
    </r>
    <r>
      <rPr>
        <sz val="10"/>
        <rFont val="Noto Sans CJK SC"/>
        <family val="2"/>
      </rPr>
      <t xml:space="preserve">场景专责</t>
    </r>
  </si>
  <si>
    <t xml:space="preserve">算力资源调度与模型运营管理</t>
  </si>
  <si>
    <t xml:space="preserve">资源调度＋模型监控</t>
  </si>
  <si>
    <t xml:space="preserve">南网网省两级运营中心统建</t>
  </si>
  <si>
    <t xml:space="preserve">数据资产</t>
  </si>
  <si>
    <t xml:space="preserve">数据资产专责</t>
  </si>
  <si>
    <t xml:space="preserve">数据资产盘点与共享目录建设</t>
  </si>
  <si>
    <t xml:space="preserve">元数据自动采集＋血缘分析</t>
  </si>
  <si>
    <t xml:space="preserve">数据要素入表带来新价值口径</t>
  </si>
  <si>
    <t xml:space="preserve">预算管理</t>
  </si>
  <si>
    <t xml:space="preserve">预算专责</t>
  </si>
  <si>
    <t xml:space="preserve">全面预算编制与滚动预测</t>
  </si>
  <si>
    <t xml:space="preserve">预算预测模型＋情景模拟</t>
  </si>
  <si>
    <t xml:space="preserve">跨全部业务部门</t>
  </si>
  <si>
    <t xml:space="preserve">省间交易协调专责</t>
  </si>
  <si>
    <t xml:space="preserve">跨省区互济电力协调与通道利用优化</t>
  </si>
  <si>
    <t xml:space="preserve">优化调度＋价格信号预测</t>
  </si>
  <si>
    <t xml:space="preserve">需南网总调与广东侧协同</t>
  </si>
  <si>
    <t xml:space="preserve">征地协调</t>
  </si>
  <si>
    <t xml:space="preserve">征拆协调专责</t>
  </si>
  <si>
    <t xml:space="preserve">征地拆迁政策处理与进度跟踪</t>
  </si>
  <si>
    <t xml:space="preserve">事项台账＋风险预警</t>
  </si>
  <si>
    <t xml:space="preserve">强依赖地方政府协同</t>
  </si>
  <si>
    <t xml:space="preserve">整改跟踪</t>
  </si>
  <si>
    <t xml:space="preserve">审计整改岗</t>
  </si>
  <si>
    <t xml:space="preserve">审计问题整改跟踪与销号管理</t>
  </si>
  <si>
    <t xml:space="preserve">台账智能体</t>
  </si>
  <si>
    <t xml:space="preserve">高敏感</t>
  </si>
  <si>
    <t xml:space="preserve">自动化</t>
  </si>
  <si>
    <t xml:space="preserve">自动化专责</t>
  </si>
  <si>
    <r>
      <rPr>
        <sz val="10"/>
        <rFont val="Arial"/>
        <family val="0"/>
        <charset val="1"/>
      </rPr>
      <t xml:space="preserve">AGC/AVC </t>
    </r>
    <r>
      <rPr>
        <sz val="10"/>
        <rFont val="Noto Sans CJK SC"/>
        <family val="2"/>
      </rPr>
      <t xml:space="preserve">自动发电与电压控制优化</t>
    </r>
  </si>
  <si>
    <t xml:space="preserve">强化学习＋在线优化</t>
  </si>
  <si>
    <t xml:space="preserve">实时控制闭环，安全等级最高</t>
  </si>
  <si>
    <t xml:space="preserve">用电检查员</t>
  </si>
  <si>
    <t xml:space="preserve">高危及重要客户用电安全隐患识别</t>
  </si>
  <si>
    <t xml:space="preserve">影像识别＋隐患知识库</t>
  </si>
  <si>
    <t xml:space="preserve">安全属性强，经济口径弱</t>
  </si>
  <si>
    <t xml:space="preserve">技术研究</t>
  </si>
  <si>
    <t xml:space="preserve">研究工程师</t>
  </si>
  <si>
    <t xml:space="preserve">新技术验证与试点应用评估</t>
  </si>
  <si>
    <t xml:space="preserve">对比试验设计＋效果评估</t>
  </si>
  <si>
    <t xml:space="preserve">外部合作最易进入的窗口</t>
  </si>
  <si>
    <t xml:space="preserve">电网规划</t>
  </si>
  <si>
    <t xml:space="preserve">规划专责</t>
  </si>
  <si>
    <t xml:space="preserve">中长期负荷预测与饱和负荷分析</t>
  </si>
  <si>
    <r>
      <rPr>
        <sz val="10"/>
        <rFont val="Noto Sans CJK SC"/>
        <family val="2"/>
      </rPr>
      <t xml:space="preserve">经济</t>
    </r>
    <r>
      <rPr>
        <sz val="10"/>
        <rFont val="Arial"/>
        <family val="0"/>
        <charset val="1"/>
      </rPr>
      <t xml:space="preserve">-</t>
    </r>
    <r>
      <rPr>
        <sz val="10"/>
        <rFont val="Noto Sans CJK SC"/>
        <family val="2"/>
      </rPr>
      <t xml:space="preserve">用电耦合模型＋情景推演</t>
    </r>
  </si>
  <si>
    <t xml:space="preserve">规划输入源头，误差影响投资</t>
  </si>
  <si>
    <t xml:space="preserve">基础设施专责</t>
  </si>
  <si>
    <t xml:space="preserve">信创国产化替代适配与测试</t>
  </si>
  <si>
    <t xml:space="preserve">自动化测试＋兼容性分析</t>
  </si>
  <si>
    <t xml:space="preserve">自主可控是硬要求</t>
  </si>
  <si>
    <t xml:space="preserve">带电作业</t>
  </si>
  <si>
    <t xml:space="preserve">带电作业专责</t>
  </si>
  <si>
    <t xml:space="preserve">带电作业方案编制与风险评估</t>
  </si>
  <si>
    <t xml:space="preserve">知识库检索＋方案生成</t>
  </si>
  <si>
    <t xml:space="preserve">安全属性主导</t>
  </si>
  <si>
    <t xml:space="preserve">资产会计</t>
  </si>
  <si>
    <t xml:space="preserve">固定资产盘点与账实核对</t>
  </si>
  <si>
    <r>
      <rPr>
        <sz val="10"/>
        <rFont val="Noto Sans CJK SC"/>
        <family val="2"/>
      </rPr>
      <t xml:space="preserve">实物</t>
    </r>
    <r>
      <rPr>
        <sz val="10"/>
        <rFont val="Arial"/>
        <family val="0"/>
        <charset val="1"/>
      </rPr>
      <t xml:space="preserve">ID</t>
    </r>
    <r>
      <rPr>
        <sz val="10"/>
        <rFont val="Noto Sans CJK SC"/>
        <family val="2"/>
      </rPr>
      <t xml:space="preserve">识别＋影像盘点</t>
    </r>
  </si>
  <si>
    <t xml:space="preserve">与生技部资产台账联动</t>
  </si>
  <si>
    <t xml:space="preserve">电网实时监视与运行工况研判</t>
  </si>
  <si>
    <t xml:space="preserve">多源时序异常检测＋规则引擎</t>
  </si>
  <si>
    <t xml:space="preserve">生产控制大区，外部厂商难直接接入</t>
  </si>
  <si>
    <t xml:space="preserve">应急管理</t>
  </si>
  <si>
    <t xml:space="preserve">应急专责</t>
  </si>
  <si>
    <t xml:space="preserve">应急预案生成与演练效果评估</t>
  </si>
  <si>
    <t xml:space="preserve">预案模板＋情景推演</t>
  </si>
  <si>
    <t xml:space="preserve">输配电价专责</t>
  </si>
  <si>
    <t xml:space="preserve">输配电价成本监审资料准备与测算</t>
  </si>
  <si>
    <t xml:space="preserve">成本归集模型＋监审规则库</t>
  </si>
  <si>
    <t xml:space="preserve">低频但决定未来监管周期收入</t>
  </si>
  <si>
    <t xml:space="preserve">规划编制</t>
  </si>
  <si>
    <t xml:space="preserve">规划编制专责</t>
  </si>
  <si>
    <t xml:space="preserve">十五五专项规划编制支撑</t>
  </si>
  <si>
    <t xml:space="preserve">资料汇编＋结构化生成</t>
  </si>
  <si>
    <t xml:space="preserve">廉洁风控</t>
  </si>
  <si>
    <t xml:space="preserve">供应链风控专责</t>
  </si>
  <si>
    <t xml:space="preserve">供应链廉洁风险监测与预警</t>
  </si>
  <si>
    <t xml:space="preserve">图关联分析＋异常行为识别</t>
  </si>
  <si>
    <t xml:space="preserve">高敏感，需纪检口径主导</t>
  </si>
  <si>
    <t xml:space="preserve">经责审计</t>
  </si>
  <si>
    <t xml:space="preserve">经责审计岗</t>
  </si>
  <si>
    <t xml:space="preserve">经济责任审计资料归集与分析</t>
  </si>
  <si>
    <t xml:space="preserve">多源取数＋结构化分析</t>
  </si>
  <si>
    <t xml:space="preserve">稳定专责</t>
  </si>
  <si>
    <t xml:space="preserve">关键断面稳定限额在线计算</t>
  </si>
  <si>
    <r>
      <rPr>
        <sz val="10"/>
        <rFont val="Noto Sans CJK SC"/>
        <family val="2"/>
      </rPr>
      <t xml:space="preserve">仿真代理模型（</t>
    </r>
    <r>
      <rPr>
        <sz val="10"/>
        <rFont val="Arial"/>
        <family val="0"/>
        <charset val="1"/>
      </rPr>
      <t xml:space="preserve">Surrogate</t>
    </r>
    <r>
      <rPr>
        <sz val="10"/>
        <rFont val="Noto Sans CJK SC"/>
        <family val="2"/>
      </rPr>
      <t xml:space="preserve">）</t>
    </r>
  </si>
  <si>
    <t xml:space="preserve">计算密集，模型可信度门槛高</t>
  </si>
  <si>
    <t xml:space="preserve">纪检监察组</t>
  </si>
  <si>
    <t xml:space="preserve">监督检查</t>
  </si>
  <si>
    <t xml:space="preserve">纪检专责</t>
  </si>
  <si>
    <t xml:space="preserve">重点领域廉洁风险点扫描与预警</t>
  </si>
  <si>
    <t xml:space="preserve">采购、基建、营销为高发领域，涉密</t>
  </si>
  <si>
    <t xml:space="preserve">主网规划</t>
  </si>
  <si>
    <t xml:space="preserve">主网规划专责</t>
  </si>
  <si>
    <t xml:space="preserve">主网网架与电源接入方案研究</t>
  </si>
  <si>
    <t xml:space="preserve">潮流仿真＋方案寻优</t>
  </si>
  <si>
    <t xml:space="preserve">跨调度、基建协同</t>
  </si>
  <si>
    <t xml:space="preserve">继电保护</t>
  </si>
  <si>
    <t xml:space="preserve">继电保护专责</t>
  </si>
  <si>
    <t xml:space="preserve">保护定值整定计算与校核</t>
  </si>
  <si>
    <t xml:space="preserve">规则校验＋计算复核模型</t>
  </si>
  <si>
    <t xml:space="preserve">定值错误后果严重，需双人复核机制</t>
  </si>
  <si>
    <t xml:space="preserve">事故调查</t>
  </si>
  <si>
    <t xml:space="preserve">事故调查专责</t>
  </si>
  <si>
    <t xml:space="preserve">事故事件调查与举一反三分析</t>
  </si>
  <si>
    <t xml:space="preserve">案例检索＋根因分析</t>
  </si>
  <si>
    <t xml:space="preserve">干部管理</t>
  </si>
  <si>
    <t xml:space="preserve">干部管理专责</t>
  </si>
  <si>
    <t xml:space="preserve">干部履历与任职资格核验</t>
  </si>
  <si>
    <t xml:space="preserve">档案结构化＋规则校验</t>
  </si>
  <si>
    <t xml:space="preserve">方式计划专责</t>
  </si>
  <si>
    <t xml:space="preserve">电网运行方式编制与安全校核</t>
  </si>
  <si>
    <t xml:space="preserve">潮流仿真＋图神经网络</t>
  </si>
  <si>
    <t xml:space="preserve">强物理约束，可解释性要求极高</t>
  </si>
  <si>
    <t xml:space="preserve">培训</t>
  </si>
  <si>
    <t xml:space="preserve">调度仿真专责</t>
  </si>
  <si>
    <r>
      <rPr>
        <sz val="10"/>
        <rFont val="Noto Sans CJK SC"/>
        <family val="2"/>
      </rPr>
      <t xml:space="preserve">调度员仿真培训（</t>
    </r>
    <r>
      <rPr>
        <sz val="10"/>
        <rFont val="Arial"/>
        <family val="0"/>
        <charset val="1"/>
      </rPr>
      <t xml:space="preserve">DTS</t>
    </r>
    <r>
      <rPr>
        <sz val="10"/>
        <rFont val="Noto Sans CJK SC"/>
        <family val="2"/>
      </rPr>
      <t xml:space="preserve">）与考评</t>
    </r>
  </si>
  <si>
    <t xml:space="preserve">大模型出题＋场景生成</t>
  </si>
  <si>
    <t xml:space="preserve">培训类，经济价值口径弱</t>
  </si>
  <si>
    <t xml:space="preserve">信访</t>
  </si>
  <si>
    <t xml:space="preserve">信访办理岗</t>
  </si>
  <si>
    <t xml:space="preserve">信访举报件要素分析与分类</t>
  </si>
  <si>
    <t xml:space="preserve">文本分类＋要素抽取</t>
  </si>
  <si>
    <t xml:space="preserve">涉密，外部不可介入</t>
  </si>
  <si>
    <t xml:space="preserve">巡察</t>
  </si>
  <si>
    <t xml:space="preserve">巡察岗</t>
  </si>
  <si>
    <t xml:space="preserve">巡察问题线索梳理与画像</t>
  </si>
  <si>
    <t xml:space="preserve">多源数据关联</t>
  </si>
  <si>
    <t xml:space="preserve">电网故障处置与事故预案调用</t>
  </si>
  <si>
    <t xml:space="preserve">知识图谱＋案例推理</t>
  </si>
  <si>
    <r>
      <rPr>
        <sz val="10"/>
        <rFont val="Noto Sans CJK SC"/>
        <family val="2"/>
      </rPr>
      <t xml:space="preserve">事故处置责任重，</t>
    </r>
    <r>
      <rPr>
        <sz val="10"/>
        <rFont val="Arial"/>
        <family val="0"/>
        <charset val="1"/>
      </rPr>
      <t xml:space="preserve">AI</t>
    </r>
    <r>
      <rPr>
        <sz val="10"/>
        <rFont val="Noto Sans CJK SC"/>
        <family val="2"/>
      </rPr>
      <t xml:space="preserve">仅可辅助</t>
    </r>
  </si>
  <si>
    <r>
      <rPr>
        <b val="true"/>
        <sz val="14"/>
        <color rgb="FF1F3864"/>
        <rFont val="Arial"/>
        <family val="0"/>
        <charset val="1"/>
      </rPr>
      <t xml:space="preserve">Top 40 </t>
    </r>
    <r>
      <rPr>
        <b val="true"/>
        <sz val="14"/>
        <color rgb="FF1F3864"/>
        <rFont val="Noto Sans CJK SC"/>
        <family val="2"/>
      </rPr>
      <t xml:space="preserve">快赢场景（按综合得分自动取自主表前 </t>
    </r>
    <r>
      <rPr>
        <b val="true"/>
        <sz val="14"/>
        <color rgb="FF1F3864"/>
        <rFont val="Arial"/>
        <family val="0"/>
        <charset val="1"/>
      </rPr>
      <t xml:space="preserve">40 </t>
    </r>
    <r>
      <rPr>
        <b val="true"/>
        <sz val="14"/>
        <color rgb="FF1F3864"/>
        <rFont val="Noto Sans CJK SC"/>
        <family val="2"/>
      </rPr>
      <t xml:space="preserve">行）</t>
    </r>
  </si>
  <si>
    <t xml:space="preserve">收益属性</t>
  </si>
  <si>
    <t xml:space="preserve">发生频次</t>
  </si>
  <si>
    <t xml:space="preserve">分单位场景数量与平均价值分布</t>
  </si>
  <si>
    <t xml:space="preserve">场景数</t>
  </si>
  <si>
    <t xml:space="preserve">平均综合得分</t>
  </si>
  <si>
    <r>
      <rPr>
        <b val="true"/>
        <sz val="10"/>
        <color rgb="FFFFFFFF"/>
        <rFont val="Arial"/>
        <family val="0"/>
        <charset val="1"/>
      </rPr>
      <t xml:space="preserve">P1 </t>
    </r>
    <r>
      <rPr>
        <b val="true"/>
        <sz val="10"/>
        <color rgb="FFFFFFFF"/>
        <rFont val="Noto Sans CJK SC"/>
        <family val="2"/>
      </rPr>
      <t xml:space="preserve">场景数</t>
    </r>
  </si>
  <si>
    <r>
      <rPr>
        <b val="true"/>
        <sz val="10"/>
        <color rgb="FFFFFFFF"/>
        <rFont val="Arial"/>
        <family val="0"/>
        <charset val="1"/>
      </rPr>
      <t xml:space="preserve">P2 </t>
    </r>
    <r>
      <rPr>
        <b val="true"/>
        <sz val="10"/>
        <color rgb="FFFFFFFF"/>
        <rFont val="Noto Sans CJK SC"/>
        <family val="2"/>
      </rPr>
      <t xml:space="preserve">场景数</t>
    </r>
  </si>
  <si>
    <t xml:space="preserve">最高分场景</t>
  </si>
  <si>
    <t xml:space="preserve">合计</t>
  </si>
  <si>
    <t xml:space="preserve">广西电网公司组织架构、科室与岗位全景</t>
  </si>
  <si>
    <t xml:space="preserve">层级</t>
  </si>
  <si>
    <t xml:space="preserve">该岗位覆盖场景数</t>
  </si>
  <si>
    <t xml:space="preserve">一、省公司本部职能部门</t>
  </si>
  <si>
    <r>
      <rPr>
        <sz val="10"/>
        <rFont val="Noto Sans CJK SC"/>
        <family val="2"/>
      </rPr>
      <t xml:space="preserve">二、省公司直属机构 </t>
    </r>
    <r>
      <rPr>
        <sz val="10"/>
        <rFont val="Arial"/>
        <family val="0"/>
        <charset val="1"/>
      </rPr>
      <t xml:space="preserve">/ </t>
    </r>
    <r>
      <rPr>
        <sz val="10"/>
        <rFont val="Noto Sans CJK SC"/>
        <family val="2"/>
      </rPr>
      <t xml:space="preserve">中心</t>
    </r>
  </si>
  <si>
    <t xml:space="preserve">三、地市及县域供电单位</t>
  </si>
  <si>
    <t xml:space="preserve">四、所属产业与经营性公司</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</si>
</sst>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Noto Sans CJK SC"/>
      <family val="2"/>
    </font>
    <font>
      <b val="true"/>
      <sz val="14"/>
      <color rgb="FF1F3864"/>
      <name val="Arial"/>
      <family val="0"/>
      <charset val="1"/>
    </font>
    <font>
      <sz val="10"/>
      <name val="Arial"/>
      <family val="0"/>
      <charset val="1"/>
    </font>
    <font>
      <b val="true"/>
      <sz val="11"/>
      <color rgb="FF1F3864"/>
      <name val="Noto Sans CJK SC"/>
      <family val="2"/>
    </font>
    <font>
      <sz val="10"/>
      <name val="Noto Sans CJK SC"/>
      <family val="2"/>
    </font>
    <font>
      <b val="true"/>
      <sz val="11"/>
      <color rgb="FF1F3864"/>
      <name val="Arial"/>
      <family val="0"/>
      <charset val="1"/>
    </font>
    <font>
      <b val="true"/>
      <sz val="10"/>
      <color rgb="FFFFFFFF"/>
      <name val="Noto Sans CJK SC"/>
      <family val="2"/>
    </font>
    <font>
      <b val="true"/>
      <sz val="10"/>
      <color rgb="FFFFFFFF"/>
      <name val="Arial"/>
      <family val="0"/>
      <charset val="1"/>
    </font>
    <font>
      <b val="true"/>
      <sz val="10"/>
      <name val="Noto Sans CJK SC"/>
      <family val="2"/>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5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5" fontId="13"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4CCCC"/>
          <bgColor rgb="FF000000"/>
        </patternFill>
      </fill>
    </dxf>
    <dxf>
      <fill>
        <patternFill patternType="solid">
          <fgColor rgb="FFFFE699"/>
          <bgColor rgb="FF000000"/>
        </patternFill>
      </fill>
    </dxf>
    <dxf>
      <fill>
        <patternFill>
          <bgColor rgb="FFC6E0B4"/>
        </patternFill>
      </fill>
    </dxf>
    <dxf>
      <fill>
        <patternFill>
          <bgColor rgb="FFFFE699"/>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5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2"/>
    <col collapsed="false" customWidth="true" hidden="false" outlineLevel="0" max="6" min="3" style="0" width="26"/>
    <col collapsed="false" customWidth="true" hidden="false" outlineLevel="0" max="7" min="7" style="0" width="30"/>
  </cols>
  <sheetData>
    <row r="1" customFormat="false" ht="21.6" hidden="false" customHeight="false" outlineLevel="0" collapsed="false">
      <c r="A1" s="1" t="s">
        <v>0</v>
      </c>
      <c r="B1" s="1"/>
      <c r="C1" s="1"/>
      <c r="D1" s="1"/>
      <c r="E1" s="1"/>
      <c r="F1" s="1"/>
    </row>
    <row r="2" customFormat="false" ht="15" hidden="false" customHeight="false" outlineLevel="0" collapsed="false">
      <c r="A2" s="2"/>
      <c r="B2" s="2"/>
      <c r="C2" s="2"/>
      <c r="D2" s="2"/>
      <c r="E2" s="2"/>
      <c r="F2" s="2"/>
      <c r="G2" s="2"/>
    </row>
    <row r="3" customFormat="false" ht="17.15" hidden="false" customHeight="false" outlineLevel="0" collapsed="false">
      <c r="A3" s="3" t="s">
        <v>1</v>
      </c>
      <c r="B3" s="2"/>
      <c r="C3" s="2"/>
      <c r="D3" s="2"/>
      <c r="E3" s="2"/>
      <c r="F3" s="2"/>
      <c r="G3" s="2"/>
    </row>
    <row r="4" customFormat="false" ht="29.85" hidden="false" customHeight="false" outlineLevel="0" collapsed="false">
      <c r="A4" s="4" t="s">
        <v>2</v>
      </c>
      <c r="B4" s="4" t="s">
        <v>3</v>
      </c>
      <c r="C4" s="2"/>
      <c r="D4" s="2"/>
      <c r="E4" s="2"/>
      <c r="F4" s="2"/>
      <c r="G4" s="2"/>
    </row>
    <row r="5" customFormat="false" ht="15" hidden="false" customHeight="false" outlineLevel="0" collapsed="false">
      <c r="A5" s="4" t="s">
        <v>4</v>
      </c>
      <c r="B5" s="2" t="s">
        <v>5</v>
      </c>
      <c r="C5" s="2"/>
      <c r="D5" s="2"/>
      <c r="E5" s="2"/>
      <c r="F5" s="2"/>
      <c r="G5" s="2"/>
    </row>
    <row r="6" customFormat="false" ht="15" hidden="false" customHeight="false" outlineLevel="0" collapsed="false">
      <c r="A6" s="4" t="s">
        <v>6</v>
      </c>
      <c r="B6" s="4" t="s">
        <v>7</v>
      </c>
      <c r="C6" s="2"/>
      <c r="D6" s="2"/>
      <c r="E6" s="2"/>
      <c r="F6" s="2"/>
      <c r="G6" s="2"/>
    </row>
    <row r="7" customFormat="false" ht="15" hidden="false" customHeight="false" outlineLevel="0" collapsed="false">
      <c r="A7" s="2"/>
      <c r="B7" s="2"/>
      <c r="C7" s="2"/>
      <c r="D7" s="2"/>
      <c r="E7" s="2"/>
      <c r="F7" s="2"/>
      <c r="G7" s="2"/>
    </row>
    <row r="8" customFormat="false" ht="64.15" hidden="false" customHeight="false" outlineLevel="0" collapsed="false">
      <c r="A8" s="3" t="s">
        <v>8</v>
      </c>
      <c r="B8" s="2"/>
      <c r="C8" s="2"/>
      <c r="D8" s="2"/>
      <c r="E8" s="2"/>
      <c r="F8" s="2"/>
      <c r="G8" s="2"/>
    </row>
    <row r="9" customFormat="false" ht="15" hidden="false" customHeight="false" outlineLevel="0" collapsed="false">
      <c r="A9" s="5" t="s">
        <v>9</v>
      </c>
      <c r="B9" s="5" t="s">
        <v>10</v>
      </c>
      <c r="C9" s="6" t="s">
        <v>11</v>
      </c>
      <c r="D9" s="6" t="s">
        <v>12</v>
      </c>
      <c r="E9" s="6" t="s">
        <v>13</v>
      </c>
      <c r="F9" s="6" t="s">
        <v>14</v>
      </c>
      <c r="G9" s="6" t="s">
        <v>15</v>
      </c>
    </row>
    <row r="10" customFormat="false" ht="15" hidden="false" customHeight="false" outlineLevel="0" collapsed="false">
      <c r="A10" s="7" t="s">
        <v>16</v>
      </c>
      <c r="B10" s="8" t="s">
        <v>17</v>
      </c>
      <c r="C10" s="7" t="s">
        <v>18</v>
      </c>
      <c r="D10" s="7" t="s">
        <v>19</v>
      </c>
      <c r="E10" s="7" t="s">
        <v>20</v>
      </c>
      <c r="F10" s="7" t="s">
        <v>21</v>
      </c>
      <c r="G10" s="7" t="s">
        <v>22</v>
      </c>
    </row>
    <row r="11" customFormat="false" ht="15" hidden="false" customHeight="false" outlineLevel="0" collapsed="false">
      <c r="A11" s="7" t="s">
        <v>23</v>
      </c>
      <c r="B11" s="8" t="s">
        <v>17</v>
      </c>
      <c r="C11" s="7" t="s">
        <v>24</v>
      </c>
      <c r="D11" s="7" t="s">
        <v>25</v>
      </c>
      <c r="E11" s="7" t="s">
        <v>26</v>
      </c>
      <c r="F11" s="7" t="s">
        <v>27</v>
      </c>
      <c r="G11" s="7" t="s">
        <v>28</v>
      </c>
    </row>
    <row r="12" customFormat="false" ht="15" hidden="false" customHeight="false" outlineLevel="0" collapsed="false">
      <c r="A12" s="7" t="s">
        <v>29</v>
      </c>
      <c r="B12" s="8" t="s">
        <v>30</v>
      </c>
      <c r="C12" s="7" t="s">
        <v>31</v>
      </c>
      <c r="D12" s="7" t="s">
        <v>32</v>
      </c>
      <c r="E12" s="7" t="s">
        <v>33</v>
      </c>
      <c r="F12" s="7" t="s">
        <v>34</v>
      </c>
      <c r="G12" s="7" t="s">
        <v>35</v>
      </c>
    </row>
    <row r="13" customFormat="false" ht="15" hidden="false" customHeight="false" outlineLevel="0" collapsed="false">
      <c r="A13" s="7" t="s">
        <v>36</v>
      </c>
      <c r="B13" s="8" t="s">
        <v>30</v>
      </c>
      <c r="C13" s="7" t="s">
        <v>37</v>
      </c>
      <c r="D13" s="7" t="s">
        <v>38</v>
      </c>
      <c r="E13" s="7" t="s">
        <v>39</v>
      </c>
      <c r="F13" s="7" t="s">
        <v>40</v>
      </c>
      <c r="G13" s="7" t="s">
        <v>41</v>
      </c>
    </row>
    <row r="14" customFormat="false" ht="15" hidden="false" customHeight="false" outlineLevel="0" collapsed="false">
      <c r="A14" s="7" t="s">
        <v>42</v>
      </c>
      <c r="B14" s="8" t="s">
        <v>43</v>
      </c>
      <c r="C14" s="7" t="s">
        <v>44</v>
      </c>
      <c r="D14" s="7" t="s">
        <v>45</v>
      </c>
      <c r="E14" s="7" t="s">
        <v>46</v>
      </c>
      <c r="F14" s="7" t="s">
        <v>47</v>
      </c>
      <c r="G14" s="7" t="s">
        <v>48</v>
      </c>
    </row>
    <row r="15" customFormat="false" ht="15" hidden="false" customHeight="false" outlineLevel="0" collapsed="false">
      <c r="A15" s="2"/>
      <c r="B15" s="2"/>
      <c r="C15" s="2"/>
      <c r="D15" s="2"/>
      <c r="E15" s="2"/>
      <c r="F15" s="2"/>
      <c r="G15" s="2"/>
    </row>
    <row r="16" customFormat="false" ht="17.15" hidden="false" customHeight="false" outlineLevel="0" collapsed="false">
      <c r="A16" s="3" t="s">
        <v>49</v>
      </c>
      <c r="B16" s="2"/>
      <c r="C16" s="2"/>
      <c r="D16" s="2"/>
      <c r="E16" s="2"/>
      <c r="F16" s="2"/>
      <c r="G16" s="2"/>
    </row>
    <row r="17" customFormat="false" ht="15" hidden="false" customHeight="false" outlineLevel="0" collapsed="false">
      <c r="A17" s="9" t="s">
        <v>50</v>
      </c>
      <c r="B17" s="2" t="s">
        <v>51</v>
      </c>
      <c r="C17" s="2"/>
      <c r="D17" s="2"/>
      <c r="E17" s="2"/>
      <c r="F17" s="2"/>
      <c r="G17" s="2"/>
    </row>
    <row r="18" customFormat="false" ht="29.85" hidden="false" customHeight="false" outlineLevel="0" collapsed="false">
      <c r="A18" s="10" t="s">
        <v>52</v>
      </c>
      <c r="B18" s="4" t="s">
        <v>53</v>
      </c>
      <c r="C18" s="2"/>
      <c r="D18" s="2"/>
      <c r="E18" s="2"/>
      <c r="F18" s="2"/>
      <c r="G18" s="2"/>
    </row>
    <row r="19" customFormat="false" ht="15" hidden="false" customHeight="false" outlineLevel="0" collapsed="false">
      <c r="A19" s="10" t="s">
        <v>54</v>
      </c>
      <c r="B19" s="2" t="s">
        <v>55</v>
      </c>
      <c r="C19" s="2"/>
      <c r="D19" s="2"/>
      <c r="E19" s="2"/>
      <c r="F19" s="2"/>
      <c r="G19" s="2"/>
    </row>
    <row r="20" customFormat="false" ht="15" hidden="false" customHeight="false" outlineLevel="0" collapsed="false">
      <c r="A20" s="10" t="s">
        <v>56</v>
      </c>
      <c r="B20" s="2" t="s">
        <v>57</v>
      </c>
      <c r="C20" s="2"/>
      <c r="D20" s="2"/>
      <c r="E20" s="2"/>
      <c r="F20" s="2"/>
      <c r="G20" s="2"/>
    </row>
    <row r="21" customFormat="false" ht="29.85" hidden="false" customHeight="false" outlineLevel="0" collapsed="false">
      <c r="A21" s="10" t="s">
        <v>58</v>
      </c>
      <c r="B21" s="4" t="s">
        <v>59</v>
      </c>
      <c r="C21" s="2"/>
      <c r="D21" s="2"/>
      <c r="E21" s="2"/>
      <c r="F21" s="2"/>
      <c r="G21" s="2"/>
    </row>
    <row r="22" customFormat="false" ht="15" hidden="false" customHeight="false" outlineLevel="0" collapsed="false">
      <c r="A22" s="2"/>
      <c r="B22" s="2"/>
      <c r="C22" s="2"/>
      <c r="D22" s="2"/>
      <c r="E22" s="2"/>
      <c r="F22" s="2"/>
      <c r="G22" s="2"/>
    </row>
    <row r="23" customFormat="false" ht="17.15" hidden="false" customHeight="false" outlineLevel="0" collapsed="false">
      <c r="A23" s="3" t="s">
        <v>60</v>
      </c>
      <c r="B23" s="2"/>
      <c r="C23" s="2"/>
      <c r="D23" s="2"/>
      <c r="E23" s="2"/>
      <c r="F23" s="2"/>
      <c r="G23" s="2"/>
    </row>
    <row r="24" customFormat="false" ht="29.85" hidden="false" customHeight="false" outlineLevel="0" collapsed="false">
      <c r="A24" s="4" t="s">
        <v>61</v>
      </c>
      <c r="B24" s="4" t="s">
        <v>62</v>
      </c>
      <c r="C24" s="2"/>
      <c r="D24" s="2"/>
      <c r="E24" s="2"/>
      <c r="F24" s="2"/>
      <c r="G24" s="2"/>
    </row>
    <row r="25" customFormat="false" ht="15" hidden="false" customHeight="false" outlineLevel="0" collapsed="false">
      <c r="A25" s="4" t="s">
        <v>63</v>
      </c>
      <c r="B25" s="4" t="s">
        <v>64</v>
      </c>
      <c r="C25" s="2"/>
      <c r="D25" s="2"/>
      <c r="E25" s="2"/>
      <c r="F25" s="2"/>
      <c r="G25" s="2"/>
    </row>
    <row r="26" customFormat="false" ht="29.85" hidden="false" customHeight="false" outlineLevel="0" collapsed="false">
      <c r="A26" s="4" t="s">
        <v>65</v>
      </c>
      <c r="B26" s="4" t="s">
        <v>66</v>
      </c>
      <c r="C26" s="2"/>
      <c r="D26" s="2"/>
      <c r="E26" s="2"/>
      <c r="F26" s="2"/>
      <c r="G26" s="2"/>
    </row>
    <row r="27" customFormat="false" ht="29.85" hidden="false" customHeight="false" outlineLevel="0" collapsed="false">
      <c r="A27" s="4" t="s">
        <v>67</v>
      </c>
      <c r="B27" s="4" t="s">
        <v>68</v>
      </c>
      <c r="C27" s="2"/>
      <c r="D27" s="2"/>
      <c r="E27" s="2"/>
      <c r="F27" s="2"/>
      <c r="G27" s="2"/>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16"/>
    <col collapsed="false" customWidth="true" hidden="false" outlineLevel="0" max="4" min="4" style="0" width="18"/>
    <col collapsed="false" customWidth="true" hidden="false" outlineLevel="0" max="5" min="5" style="0" width="40"/>
    <col collapsed="false" customWidth="true" hidden="false" outlineLevel="0" max="6" min="6" style="0" width="17"/>
    <col collapsed="false" customWidth="true" hidden="false" outlineLevel="0" max="7" min="7" style="0" width="7"/>
    <col collapsed="false" customWidth="true" hidden="false" outlineLevel="0" max="8" min="8" style="0" width="12"/>
    <col collapsed="false" customWidth="true" hidden="false" outlineLevel="0" max="9" min="9" style="0" width="7"/>
    <col collapsed="false" customWidth="true" hidden="false" outlineLevel="0" max="10" min="10" style="0" width="22"/>
    <col collapsed="false" customWidth="true" hidden="false" outlineLevel="0" max="11" min="11" style="0" width="7"/>
    <col collapsed="false" customWidth="true" hidden="false" outlineLevel="0" max="12" min="12" style="0" width="20"/>
    <col collapsed="false" customWidth="true" hidden="false" outlineLevel="0" max="13" min="13" style="0" width="7"/>
    <col collapsed="false" customWidth="true" hidden="false" outlineLevel="0" max="14" min="14" style="0" width="14"/>
    <col collapsed="false" customWidth="true" hidden="false" outlineLevel="0" max="15" min="15" style="0" width="7"/>
    <col collapsed="false" customWidth="true" hidden="false" outlineLevel="0" max="16" min="16" style="0" width="10"/>
    <col collapsed="false" customWidth="true" hidden="false" outlineLevel="0" max="17" min="17" style="0" width="14"/>
    <col collapsed="false" customWidth="true" hidden="false" outlineLevel="0" max="18" min="18" style="0" width="30"/>
    <col collapsed="false" customWidth="true" hidden="false" outlineLevel="0" max="19" min="19" style="0" width="34"/>
  </cols>
  <sheetData>
    <row r="1" customFormat="false" ht="33.75" hidden="false" customHeight="true" outlineLevel="0" collapsed="false">
      <c r="A1" s="11" t="s">
        <v>69</v>
      </c>
      <c r="B1" s="11" t="s">
        <v>70</v>
      </c>
      <c r="C1" s="11" t="s">
        <v>71</v>
      </c>
      <c r="D1" s="11" t="s">
        <v>72</v>
      </c>
      <c r="E1" s="11" t="s">
        <v>73</v>
      </c>
      <c r="F1" s="11" t="s">
        <v>74</v>
      </c>
      <c r="G1" s="11" t="s">
        <v>75</v>
      </c>
      <c r="H1" s="11" t="s">
        <v>76</v>
      </c>
      <c r="I1" s="11" t="s">
        <v>77</v>
      </c>
      <c r="J1" s="11" t="s">
        <v>78</v>
      </c>
      <c r="K1" s="11" t="s">
        <v>79</v>
      </c>
      <c r="L1" s="11" t="s">
        <v>80</v>
      </c>
      <c r="M1" s="11" t="s">
        <v>81</v>
      </c>
      <c r="N1" s="11" t="s">
        <v>82</v>
      </c>
      <c r="O1" s="11" t="s">
        <v>83</v>
      </c>
      <c r="P1" s="11" t="s">
        <v>84</v>
      </c>
      <c r="Q1" s="11" t="s">
        <v>85</v>
      </c>
      <c r="R1" s="11" t="s">
        <v>86</v>
      </c>
      <c r="S1" s="11" t="s">
        <v>87</v>
      </c>
    </row>
    <row r="2" customFormat="false" ht="30" hidden="false" customHeight="true" outlineLevel="0" collapsed="false">
      <c r="A2" s="12" t="n">
        <v>1</v>
      </c>
      <c r="B2" s="7" t="s">
        <v>88</v>
      </c>
      <c r="C2" s="7" t="s">
        <v>89</v>
      </c>
      <c r="D2" s="7" t="s">
        <v>90</v>
      </c>
      <c r="E2" s="7" t="s">
        <v>91</v>
      </c>
      <c r="F2" s="7" t="s">
        <v>18</v>
      </c>
      <c r="G2" s="12" t="n">
        <v>5</v>
      </c>
      <c r="H2" s="7" t="s">
        <v>24</v>
      </c>
      <c r="I2" s="12" t="n">
        <v>5</v>
      </c>
      <c r="J2" s="7" t="s">
        <v>33</v>
      </c>
      <c r="K2" s="12" t="n">
        <v>3</v>
      </c>
      <c r="L2" s="7" t="s">
        <v>38</v>
      </c>
      <c r="M2" s="12" t="n">
        <v>4</v>
      </c>
      <c r="N2" s="7" t="s">
        <v>45</v>
      </c>
      <c r="O2" s="12" t="n">
        <v>4</v>
      </c>
      <c r="P2" s="13" t="n">
        <f aca="false">ROUND(G2*0.25+I2*0.25+K2*0.15+M2*0.15+O2*0.2,2)</f>
        <v>4.35</v>
      </c>
      <c r="Q2" s="12" t="str">
        <f aca="false">IF(P2&gt;=4,"P1 立即启动",IF(P2&gt;=3.6,"P2 半年内推进",IF(P2&gt;=3.2,"P3 储备观察","P4 暂缓")))</f>
        <v>P1 立即启动</v>
      </c>
      <c r="R2" s="7" t="s">
        <v>92</v>
      </c>
      <c r="S2" s="7" t="s">
        <v>93</v>
      </c>
    </row>
    <row r="3" customFormat="false" ht="30" hidden="false" customHeight="true" outlineLevel="0" collapsed="false">
      <c r="A3" s="14" t="n">
        <v>2</v>
      </c>
      <c r="B3" s="15" t="s">
        <v>94</v>
      </c>
      <c r="C3" s="15" t="s">
        <v>95</v>
      </c>
      <c r="D3" s="15" t="s">
        <v>96</v>
      </c>
      <c r="E3" s="15" t="s">
        <v>97</v>
      </c>
      <c r="F3" s="15" t="s">
        <v>18</v>
      </c>
      <c r="G3" s="14" t="n">
        <v>5</v>
      </c>
      <c r="H3" s="15" t="s">
        <v>24</v>
      </c>
      <c r="I3" s="14" t="n">
        <v>5</v>
      </c>
      <c r="J3" s="15" t="s">
        <v>33</v>
      </c>
      <c r="K3" s="14" t="n">
        <v>3</v>
      </c>
      <c r="L3" s="15" t="s">
        <v>38</v>
      </c>
      <c r="M3" s="14" t="n">
        <v>4</v>
      </c>
      <c r="N3" s="15" t="s">
        <v>46</v>
      </c>
      <c r="O3" s="14" t="n">
        <v>3</v>
      </c>
      <c r="P3" s="16" t="n">
        <f aca="false">ROUND(G3*0.25+I3*0.25+K3*0.15+M3*0.15+O3*0.2,2)</f>
        <v>4.15</v>
      </c>
      <c r="Q3" s="14" t="str">
        <f aca="false">IF(P3&gt;=4,"P1 立即启动",IF(P3&gt;=3.6,"P2 半年内推进",IF(P3&gt;=3.2,"P3 储备观察","P4 暂缓")))</f>
        <v>P1 立即启动</v>
      </c>
      <c r="R3" s="15" t="s">
        <v>98</v>
      </c>
      <c r="S3" s="15" t="s">
        <v>99</v>
      </c>
    </row>
    <row r="4" customFormat="false" ht="30" hidden="false" customHeight="true" outlineLevel="0" collapsed="false">
      <c r="A4" s="12" t="n">
        <v>3</v>
      </c>
      <c r="B4" s="7" t="s">
        <v>100</v>
      </c>
      <c r="C4" s="7" t="s">
        <v>95</v>
      </c>
      <c r="D4" s="7" t="s">
        <v>101</v>
      </c>
      <c r="E4" s="7" t="s">
        <v>102</v>
      </c>
      <c r="F4" s="7" t="s">
        <v>18</v>
      </c>
      <c r="G4" s="12" t="n">
        <v>5</v>
      </c>
      <c r="H4" s="7" t="s">
        <v>24</v>
      </c>
      <c r="I4" s="12" t="n">
        <v>5</v>
      </c>
      <c r="J4" s="7" t="s">
        <v>33</v>
      </c>
      <c r="K4" s="12" t="n">
        <v>3</v>
      </c>
      <c r="L4" s="7" t="s">
        <v>38</v>
      </c>
      <c r="M4" s="12" t="n">
        <v>4</v>
      </c>
      <c r="N4" s="7" t="s">
        <v>46</v>
      </c>
      <c r="O4" s="12" t="n">
        <v>3</v>
      </c>
      <c r="P4" s="13" t="n">
        <f aca="false">ROUND(G4*0.25+I4*0.25+K4*0.15+M4*0.15+O4*0.2,2)</f>
        <v>4.15</v>
      </c>
      <c r="Q4" s="12" t="str">
        <f aca="false">IF(P4&gt;=4,"P1 立即启动",IF(P4&gt;=3.6,"P2 半年内推进",IF(P4&gt;=3.2,"P3 储备观察","P4 暂缓")))</f>
        <v>P1 立即启动</v>
      </c>
      <c r="R4" s="7" t="s">
        <v>103</v>
      </c>
      <c r="S4" s="7" t="s">
        <v>104</v>
      </c>
    </row>
    <row r="5" customFormat="false" ht="30" hidden="false" customHeight="true" outlineLevel="0" collapsed="false">
      <c r="A5" s="14" t="n">
        <v>4</v>
      </c>
      <c r="B5" s="15" t="s">
        <v>105</v>
      </c>
      <c r="C5" s="15" t="s">
        <v>106</v>
      </c>
      <c r="D5" s="15" t="s">
        <v>107</v>
      </c>
      <c r="E5" s="15" t="s">
        <v>108</v>
      </c>
      <c r="F5" s="15" t="s">
        <v>19</v>
      </c>
      <c r="G5" s="14" t="n">
        <v>4</v>
      </c>
      <c r="H5" s="15" t="s">
        <v>24</v>
      </c>
      <c r="I5" s="14" t="n">
        <v>5</v>
      </c>
      <c r="J5" s="15" t="s">
        <v>33</v>
      </c>
      <c r="K5" s="14" t="n">
        <v>3</v>
      </c>
      <c r="L5" s="15" t="s">
        <v>38</v>
      </c>
      <c r="M5" s="14" t="n">
        <v>4</v>
      </c>
      <c r="N5" s="15" t="s">
        <v>45</v>
      </c>
      <c r="O5" s="14" t="n">
        <v>4</v>
      </c>
      <c r="P5" s="16" t="n">
        <f aca="false">ROUND(G5*0.25+I5*0.25+K5*0.15+M5*0.15+O5*0.2,2)</f>
        <v>4.1</v>
      </c>
      <c r="Q5" s="14" t="str">
        <f aca="false">IF(P5&gt;=4,"P1 立即启动",IF(P5&gt;=3.6,"P2 半年内推进",IF(P5&gt;=3.2,"P3 储备观察","P4 暂缓")))</f>
        <v>P1 立即启动</v>
      </c>
      <c r="R5" s="15" t="s">
        <v>109</v>
      </c>
      <c r="S5" s="15" t="s">
        <v>110</v>
      </c>
    </row>
    <row r="6" customFormat="false" ht="30" hidden="false" customHeight="true" outlineLevel="0" collapsed="false">
      <c r="A6" s="12" t="n">
        <v>5</v>
      </c>
      <c r="B6" s="7" t="s">
        <v>105</v>
      </c>
      <c r="C6" s="7" t="s">
        <v>111</v>
      </c>
      <c r="D6" s="7" t="s">
        <v>112</v>
      </c>
      <c r="E6" s="7" t="s">
        <v>113</v>
      </c>
      <c r="F6" s="7" t="s">
        <v>19</v>
      </c>
      <c r="G6" s="12" t="n">
        <v>4</v>
      </c>
      <c r="H6" s="7" t="s">
        <v>24</v>
      </c>
      <c r="I6" s="12" t="n">
        <v>5</v>
      </c>
      <c r="J6" s="7" t="s">
        <v>33</v>
      </c>
      <c r="K6" s="12" t="n">
        <v>3</v>
      </c>
      <c r="L6" s="7" t="s">
        <v>38</v>
      </c>
      <c r="M6" s="12" t="n">
        <v>4</v>
      </c>
      <c r="N6" s="7" t="s">
        <v>45</v>
      </c>
      <c r="O6" s="12" t="n">
        <v>4</v>
      </c>
      <c r="P6" s="13" t="n">
        <f aca="false">ROUND(G6*0.25+I6*0.25+K6*0.15+M6*0.15+O6*0.2,2)</f>
        <v>4.1</v>
      </c>
      <c r="Q6" s="12" t="str">
        <f aca="false">IF(P6&gt;=4,"P1 立即启动",IF(P6&gt;=3.6,"P2 半年内推进",IF(P6&gt;=3.2,"P3 储备观察","P4 暂缓")))</f>
        <v>P1 立即启动</v>
      </c>
      <c r="R6" s="7" t="s">
        <v>114</v>
      </c>
      <c r="S6" s="7" t="s">
        <v>115</v>
      </c>
    </row>
    <row r="7" customFormat="false" ht="30" hidden="false" customHeight="true" outlineLevel="0" collapsed="false">
      <c r="A7" s="14" t="n">
        <v>6</v>
      </c>
      <c r="B7" s="15" t="s">
        <v>94</v>
      </c>
      <c r="C7" s="15" t="s">
        <v>116</v>
      </c>
      <c r="D7" s="15" t="s">
        <v>117</v>
      </c>
      <c r="E7" s="15" t="s">
        <v>118</v>
      </c>
      <c r="F7" s="15" t="s">
        <v>19</v>
      </c>
      <c r="G7" s="14" t="n">
        <v>4</v>
      </c>
      <c r="H7" s="15" t="s">
        <v>24</v>
      </c>
      <c r="I7" s="14" t="n">
        <v>5</v>
      </c>
      <c r="J7" s="15" t="s">
        <v>33</v>
      </c>
      <c r="K7" s="14" t="n">
        <v>3</v>
      </c>
      <c r="L7" s="15" t="s">
        <v>38</v>
      </c>
      <c r="M7" s="14" t="n">
        <v>4</v>
      </c>
      <c r="N7" s="15" t="s">
        <v>45</v>
      </c>
      <c r="O7" s="14" t="n">
        <v>4</v>
      </c>
      <c r="P7" s="16" t="n">
        <f aca="false">ROUND(G7*0.25+I7*0.25+K7*0.15+M7*0.15+O7*0.2,2)</f>
        <v>4.1</v>
      </c>
      <c r="Q7" s="14" t="str">
        <f aca="false">IF(P7&gt;=4,"P1 立即启动",IF(P7&gt;=3.6,"P2 半年内推进",IF(P7&gt;=3.2,"P3 储备观察","P4 暂缓")))</f>
        <v>P1 立即启动</v>
      </c>
      <c r="R7" s="15" t="s">
        <v>119</v>
      </c>
      <c r="S7" s="15" t="s">
        <v>120</v>
      </c>
    </row>
    <row r="8" customFormat="false" ht="30" hidden="false" customHeight="true" outlineLevel="0" collapsed="false">
      <c r="A8" s="12" t="n">
        <v>7</v>
      </c>
      <c r="B8" s="7" t="s">
        <v>94</v>
      </c>
      <c r="C8" s="7" t="s">
        <v>121</v>
      </c>
      <c r="D8" s="7" t="s">
        <v>122</v>
      </c>
      <c r="E8" s="7" t="s">
        <v>123</v>
      </c>
      <c r="F8" s="7" t="s">
        <v>18</v>
      </c>
      <c r="G8" s="12" t="n">
        <v>5</v>
      </c>
      <c r="H8" s="7" t="s">
        <v>25</v>
      </c>
      <c r="I8" s="12" t="n">
        <v>4</v>
      </c>
      <c r="J8" s="7" t="s">
        <v>33</v>
      </c>
      <c r="K8" s="12" t="n">
        <v>3</v>
      </c>
      <c r="L8" s="7" t="s">
        <v>38</v>
      </c>
      <c r="M8" s="12" t="n">
        <v>4</v>
      </c>
      <c r="N8" s="7" t="s">
        <v>45</v>
      </c>
      <c r="O8" s="12" t="n">
        <v>4</v>
      </c>
      <c r="P8" s="13" t="n">
        <f aca="false">ROUND(G8*0.25+I8*0.25+K8*0.15+M8*0.15+O8*0.2,2)</f>
        <v>4.1</v>
      </c>
      <c r="Q8" s="12" t="str">
        <f aca="false">IF(P8&gt;=4,"P1 立即启动",IF(P8&gt;=3.6,"P2 半年内推进",IF(P8&gt;=3.2,"P3 储备观察","P4 暂缓")))</f>
        <v>P1 立即启动</v>
      </c>
      <c r="R8" s="7" t="s">
        <v>124</v>
      </c>
      <c r="S8" s="7" t="s">
        <v>125</v>
      </c>
    </row>
    <row r="9" customFormat="false" ht="30" hidden="false" customHeight="true" outlineLevel="0" collapsed="false">
      <c r="A9" s="14" t="n">
        <v>8</v>
      </c>
      <c r="B9" s="15" t="s">
        <v>126</v>
      </c>
      <c r="C9" s="15" t="s">
        <v>127</v>
      </c>
      <c r="D9" s="15" t="s">
        <v>128</v>
      </c>
      <c r="E9" s="15" t="s">
        <v>129</v>
      </c>
      <c r="F9" s="15" t="s">
        <v>19</v>
      </c>
      <c r="G9" s="14" t="n">
        <v>4</v>
      </c>
      <c r="H9" s="15" t="s">
        <v>24</v>
      </c>
      <c r="I9" s="14" t="n">
        <v>5</v>
      </c>
      <c r="J9" s="15" t="s">
        <v>33</v>
      </c>
      <c r="K9" s="14" t="n">
        <v>3</v>
      </c>
      <c r="L9" s="15" t="s">
        <v>38</v>
      </c>
      <c r="M9" s="14" t="n">
        <v>4</v>
      </c>
      <c r="N9" s="15" t="s">
        <v>45</v>
      </c>
      <c r="O9" s="14" t="n">
        <v>4</v>
      </c>
      <c r="P9" s="16" t="n">
        <f aca="false">ROUND(G9*0.25+I9*0.25+K9*0.15+M9*0.15+O9*0.2,2)</f>
        <v>4.1</v>
      </c>
      <c r="Q9" s="14" t="str">
        <f aca="false">IF(P9&gt;=4,"P1 立即启动",IF(P9&gt;=3.6,"P2 半年内推进",IF(P9&gt;=3.2,"P3 储备观察","P4 暂缓")))</f>
        <v>P1 立即启动</v>
      </c>
      <c r="R9" s="15" t="s">
        <v>130</v>
      </c>
      <c r="S9" s="15" t="s">
        <v>131</v>
      </c>
    </row>
    <row r="10" customFormat="false" ht="30" hidden="false" customHeight="true" outlineLevel="0" collapsed="false">
      <c r="A10" s="12" t="n">
        <v>9</v>
      </c>
      <c r="B10" s="7" t="s">
        <v>132</v>
      </c>
      <c r="C10" s="7" t="s">
        <v>133</v>
      </c>
      <c r="D10" s="7" t="s">
        <v>134</v>
      </c>
      <c r="E10" s="7" t="s">
        <v>135</v>
      </c>
      <c r="F10" s="7" t="s">
        <v>19</v>
      </c>
      <c r="G10" s="12" t="n">
        <v>4</v>
      </c>
      <c r="H10" s="7" t="s">
        <v>24</v>
      </c>
      <c r="I10" s="12" t="n">
        <v>5</v>
      </c>
      <c r="J10" s="7" t="s">
        <v>33</v>
      </c>
      <c r="K10" s="12" t="n">
        <v>3</v>
      </c>
      <c r="L10" s="7" t="s">
        <v>38</v>
      </c>
      <c r="M10" s="12" t="n">
        <v>4</v>
      </c>
      <c r="N10" s="7" t="s">
        <v>45</v>
      </c>
      <c r="O10" s="12" t="n">
        <v>4</v>
      </c>
      <c r="P10" s="13" t="n">
        <f aca="false">ROUND(G10*0.25+I10*0.25+K10*0.15+M10*0.15+O10*0.2,2)</f>
        <v>4.1</v>
      </c>
      <c r="Q10" s="12" t="str">
        <f aca="false">IF(P10&gt;=4,"P1 立即启动",IF(P10&gt;=3.6,"P2 半年内推进",IF(P10&gt;=3.2,"P3 储备观察","P4 暂缓")))</f>
        <v>P1 立即启动</v>
      </c>
      <c r="R10" s="7" t="s">
        <v>136</v>
      </c>
      <c r="S10" s="7" t="s">
        <v>137</v>
      </c>
    </row>
    <row r="11" customFormat="false" ht="30" hidden="false" customHeight="true" outlineLevel="0" collapsed="false">
      <c r="A11" s="14" t="n">
        <v>10</v>
      </c>
      <c r="B11" s="15" t="s">
        <v>138</v>
      </c>
      <c r="C11" s="15" t="s">
        <v>139</v>
      </c>
      <c r="D11" s="15" t="s">
        <v>140</v>
      </c>
      <c r="E11" s="15" t="s">
        <v>141</v>
      </c>
      <c r="F11" s="15" t="s">
        <v>21</v>
      </c>
      <c r="G11" s="14" t="n">
        <v>2</v>
      </c>
      <c r="H11" s="15" t="s">
        <v>24</v>
      </c>
      <c r="I11" s="14" t="n">
        <v>5</v>
      </c>
      <c r="J11" s="15" t="s">
        <v>33</v>
      </c>
      <c r="K11" s="14" t="n">
        <v>3</v>
      </c>
      <c r="L11" s="15" t="s">
        <v>37</v>
      </c>
      <c r="M11" s="14" t="n">
        <v>5</v>
      </c>
      <c r="N11" s="15" t="s">
        <v>44</v>
      </c>
      <c r="O11" s="14" t="n">
        <v>5</v>
      </c>
      <c r="P11" s="16" t="n">
        <f aca="false">ROUND(G11*0.25+I11*0.25+K11*0.15+M11*0.15+O11*0.2,2)</f>
        <v>3.95</v>
      </c>
      <c r="Q11" s="14" t="str">
        <f aca="false">IF(P11&gt;=4,"P1 立即启动",IF(P11&gt;=3.6,"P2 半年内推进",IF(P11&gt;=3.2,"P3 储备观察","P4 暂缓")))</f>
        <v>P2 半年内推进</v>
      </c>
      <c r="R11" s="17" t="s">
        <v>142</v>
      </c>
      <c r="S11" s="15" t="s">
        <v>143</v>
      </c>
    </row>
    <row r="12" customFormat="false" ht="30" hidden="false" customHeight="true" outlineLevel="0" collapsed="false">
      <c r="A12" s="12" t="n">
        <v>11</v>
      </c>
      <c r="B12" s="7" t="s">
        <v>94</v>
      </c>
      <c r="C12" s="7" t="s">
        <v>144</v>
      </c>
      <c r="D12" s="7" t="s">
        <v>145</v>
      </c>
      <c r="E12" s="7" t="s">
        <v>146</v>
      </c>
      <c r="F12" s="7" t="s">
        <v>19</v>
      </c>
      <c r="G12" s="12" t="n">
        <v>4</v>
      </c>
      <c r="H12" s="7" t="s">
        <v>24</v>
      </c>
      <c r="I12" s="12" t="n">
        <v>5</v>
      </c>
      <c r="J12" s="7" t="s">
        <v>34</v>
      </c>
      <c r="K12" s="12" t="n">
        <v>2</v>
      </c>
      <c r="L12" s="7" t="s">
        <v>38</v>
      </c>
      <c r="M12" s="12" t="n">
        <v>4</v>
      </c>
      <c r="N12" s="7" t="s">
        <v>45</v>
      </c>
      <c r="O12" s="12" t="n">
        <v>4</v>
      </c>
      <c r="P12" s="13" t="n">
        <f aca="false">ROUND(G12*0.25+I12*0.25+K12*0.15+M12*0.15+O12*0.2,2)</f>
        <v>3.95</v>
      </c>
      <c r="Q12" s="12" t="str">
        <f aca="false">IF(P12&gt;=4,"P1 立即启动",IF(P12&gt;=3.6,"P2 半年内推进",IF(P12&gt;=3.2,"P3 储备观察","P4 暂缓")))</f>
        <v>P2 半年内推进</v>
      </c>
      <c r="R12" s="7" t="s">
        <v>147</v>
      </c>
      <c r="S12" s="7" t="s">
        <v>148</v>
      </c>
    </row>
    <row r="13" customFormat="false" ht="30" hidden="false" customHeight="true" outlineLevel="0" collapsed="false">
      <c r="A13" s="14" t="n">
        <v>12</v>
      </c>
      <c r="B13" s="15" t="s">
        <v>94</v>
      </c>
      <c r="C13" s="15" t="s">
        <v>149</v>
      </c>
      <c r="D13" s="15" t="s">
        <v>150</v>
      </c>
      <c r="E13" s="15" t="s">
        <v>151</v>
      </c>
      <c r="F13" s="15" t="s">
        <v>18</v>
      </c>
      <c r="G13" s="14" t="n">
        <v>5</v>
      </c>
      <c r="H13" s="15" t="s">
        <v>25</v>
      </c>
      <c r="I13" s="14" t="n">
        <v>4</v>
      </c>
      <c r="J13" s="15" t="s">
        <v>34</v>
      </c>
      <c r="K13" s="14" t="n">
        <v>2</v>
      </c>
      <c r="L13" s="15" t="s">
        <v>38</v>
      </c>
      <c r="M13" s="14" t="n">
        <v>4</v>
      </c>
      <c r="N13" s="15" t="s">
        <v>45</v>
      </c>
      <c r="O13" s="14" t="n">
        <v>4</v>
      </c>
      <c r="P13" s="16" t="n">
        <f aca="false">ROUND(G13*0.25+I13*0.25+K13*0.15+M13*0.15+O13*0.2,2)</f>
        <v>3.95</v>
      </c>
      <c r="Q13" s="14" t="str">
        <f aca="false">IF(P13&gt;=4,"P1 立即启动",IF(P13&gt;=3.6,"P2 半年内推进",IF(P13&gt;=3.2,"P3 储备观察","P4 暂缓")))</f>
        <v>P2 半年内推进</v>
      </c>
      <c r="R13" s="15" t="s">
        <v>152</v>
      </c>
      <c r="S13" s="15" t="s">
        <v>153</v>
      </c>
    </row>
    <row r="14" customFormat="false" ht="30" hidden="false" customHeight="true" outlineLevel="0" collapsed="false">
      <c r="A14" s="12" t="n">
        <v>13</v>
      </c>
      <c r="B14" s="7" t="s">
        <v>94</v>
      </c>
      <c r="C14" s="7" t="s">
        <v>149</v>
      </c>
      <c r="D14" s="7" t="s">
        <v>154</v>
      </c>
      <c r="E14" s="7" t="s">
        <v>155</v>
      </c>
      <c r="F14" s="7" t="s">
        <v>18</v>
      </c>
      <c r="G14" s="12" t="n">
        <v>5</v>
      </c>
      <c r="H14" s="7" t="s">
        <v>25</v>
      </c>
      <c r="I14" s="12" t="n">
        <v>4</v>
      </c>
      <c r="J14" s="7" t="s">
        <v>34</v>
      </c>
      <c r="K14" s="12" t="n">
        <v>2</v>
      </c>
      <c r="L14" s="7" t="s">
        <v>38</v>
      </c>
      <c r="M14" s="12" t="n">
        <v>4</v>
      </c>
      <c r="N14" s="7" t="s">
        <v>45</v>
      </c>
      <c r="O14" s="12" t="n">
        <v>4</v>
      </c>
      <c r="P14" s="13" t="n">
        <f aca="false">ROUND(G14*0.25+I14*0.25+K14*0.15+M14*0.15+O14*0.2,2)</f>
        <v>3.95</v>
      </c>
      <c r="Q14" s="12" t="str">
        <f aca="false">IF(P14&gt;=4,"P1 立即启动",IF(P14&gt;=3.6,"P2 半年内推进",IF(P14&gt;=3.2,"P3 储备观察","P4 暂缓")))</f>
        <v>P2 半年内推进</v>
      </c>
      <c r="R14" s="7" t="s">
        <v>156</v>
      </c>
      <c r="S14" s="7" t="s">
        <v>157</v>
      </c>
    </row>
    <row r="15" customFormat="false" ht="30" hidden="false" customHeight="true" outlineLevel="0" collapsed="false">
      <c r="A15" s="14" t="n">
        <v>14</v>
      </c>
      <c r="B15" s="15" t="s">
        <v>94</v>
      </c>
      <c r="C15" s="15" t="s">
        <v>158</v>
      </c>
      <c r="D15" s="15" t="s">
        <v>159</v>
      </c>
      <c r="E15" s="15" t="s">
        <v>160</v>
      </c>
      <c r="F15" s="15" t="s">
        <v>18</v>
      </c>
      <c r="G15" s="14" t="n">
        <v>5</v>
      </c>
      <c r="H15" s="15" t="s">
        <v>25</v>
      </c>
      <c r="I15" s="14" t="n">
        <v>4</v>
      </c>
      <c r="J15" s="15" t="s">
        <v>33</v>
      </c>
      <c r="K15" s="14" t="n">
        <v>3</v>
      </c>
      <c r="L15" s="15" t="s">
        <v>38</v>
      </c>
      <c r="M15" s="14" t="n">
        <v>4</v>
      </c>
      <c r="N15" s="15" t="s">
        <v>46</v>
      </c>
      <c r="O15" s="14" t="n">
        <v>3</v>
      </c>
      <c r="P15" s="16" t="n">
        <f aca="false">ROUND(G15*0.25+I15*0.25+K15*0.15+M15*0.15+O15*0.2,2)</f>
        <v>3.9</v>
      </c>
      <c r="Q15" s="14" t="str">
        <f aca="false">IF(P15&gt;=4,"P1 立即启动",IF(P15&gt;=3.6,"P2 半年内推进",IF(P15&gt;=3.2,"P3 储备观察","P4 暂缓")))</f>
        <v>P2 半年内推进</v>
      </c>
      <c r="R15" s="15" t="s">
        <v>161</v>
      </c>
      <c r="S15" s="15" t="s">
        <v>162</v>
      </c>
    </row>
    <row r="16" customFormat="false" ht="30" hidden="false" customHeight="true" outlineLevel="0" collapsed="false">
      <c r="A16" s="12" t="n">
        <v>15</v>
      </c>
      <c r="B16" s="7" t="s">
        <v>163</v>
      </c>
      <c r="C16" s="7" t="s">
        <v>164</v>
      </c>
      <c r="D16" s="7" t="s">
        <v>165</v>
      </c>
      <c r="E16" s="7" t="s">
        <v>166</v>
      </c>
      <c r="F16" s="7" t="s">
        <v>18</v>
      </c>
      <c r="G16" s="12" t="n">
        <v>5</v>
      </c>
      <c r="H16" s="7" t="s">
        <v>25</v>
      </c>
      <c r="I16" s="12" t="n">
        <v>4</v>
      </c>
      <c r="J16" s="7" t="s">
        <v>33</v>
      </c>
      <c r="K16" s="12" t="n">
        <v>3</v>
      </c>
      <c r="L16" s="7" t="s">
        <v>38</v>
      </c>
      <c r="M16" s="12" t="n">
        <v>4</v>
      </c>
      <c r="N16" s="7" t="s">
        <v>46</v>
      </c>
      <c r="O16" s="12" t="n">
        <v>3</v>
      </c>
      <c r="P16" s="13" t="n">
        <f aca="false">ROUND(G16*0.25+I16*0.25+K16*0.15+M16*0.15+O16*0.2,2)</f>
        <v>3.9</v>
      </c>
      <c r="Q16" s="12" t="str">
        <f aca="false">IF(P16&gt;=4,"P1 立即启动",IF(P16&gt;=3.6,"P2 半年内推进",IF(P16&gt;=3.2,"P3 储备观察","P4 暂缓")))</f>
        <v>P2 半年内推进</v>
      </c>
      <c r="R16" s="7" t="s">
        <v>167</v>
      </c>
      <c r="S16" s="7" t="s">
        <v>168</v>
      </c>
    </row>
    <row r="17" customFormat="false" ht="30" hidden="false" customHeight="true" outlineLevel="0" collapsed="false">
      <c r="A17" s="14" t="n">
        <v>16</v>
      </c>
      <c r="B17" s="15" t="s">
        <v>169</v>
      </c>
      <c r="C17" s="15" t="s">
        <v>170</v>
      </c>
      <c r="D17" s="15" t="s">
        <v>171</v>
      </c>
      <c r="E17" s="15" t="s">
        <v>172</v>
      </c>
      <c r="F17" s="15" t="s">
        <v>20</v>
      </c>
      <c r="G17" s="14" t="n">
        <v>3</v>
      </c>
      <c r="H17" s="15" t="s">
        <v>24</v>
      </c>
      <c r="I17" s="14" t="n">
        <v>5</v>
      </c>
      <c r="J17" s="15" t="s">
        <v>33</v>
      </c>
      <c r="K17" s="14" t="n">
        <v>3</v>
      </c>
      <c r="L17" s="15" t="s">
        <v>38</v>
      </c>
      <c r="M17" s="14" t="n">
        <v>4</v>
      </c>
      <c r="N17" s="15" t="s">
        <v>45</v>
      </c>
      <c r="O17" s="14" t="n">
        <v>4</v>
      </c>
      <c r="P17" s="16" t="n">
        <f aca="false">ROUND(G17*0.25+I17*0.25+K17*0.15+M17*0.15+O17*0.2,2)</f>
        <v>3.85</v>
      </c>
      <c r="Q17" s="14" t="str">
        <f aca="false">IF(P17&gt;=4,"P1 立即启动",IF(P17&gt;=3.6,"P2 半年内推进",IF(P17&gt;=3.2,"P3 储备观察","P4 暂缓")))</f>
        <v>P2 半年内推进</v>
      </c>
      <c r="R17" s="15" t="s">
        <v>173</v>
      </c>
      <c r="S17" s="15" t="s">
        <v>174</v>
      </c>
    </row>
    <row r="18" customFormat="false" ht="30" hidden="false" customHeight="true" outlineLevel="0" collapsed="false">
      <c r="A18" s="12" t="n">
        <v>17</v>
      </c>
      <c r="B18" s="7" t="s">
        <v>94</v>
      </c>
      <c r="C18" s="7" t="s">
        <v>175</v>
      </c>
      <c r="D18" s="7" t="s">
        <v>176</v>
      </c>
      <c r="E18" s="7" t="s">
        <v>177</v>
      </c>
      <c r="F18" s="7" t="s">
        <v>19</v>
      </c>
      <c r="G18" s="12" t="n">
        <v>4</v>
      </c>
      <c r="H18" s="7" t="s">
        <v>25</v>
      </c>
      <c r="I18" s="12" t="n">
        <v>4</v>
      </c>
      <c r="J18" s="7" t="s">
        <v>33</v>
      </c>
      <c r="K18" s="12" t="n">
        <v>3</v>
      </c>
      <c r="L18" s="7" t="s">
        <v>38</v>
      </c>
      <c r="M18" s="12" t="n">
        <v>4</v>
      </c>
      <c r="N18" s="7" t="s">
        <v>45</v>
      </c>
      <c r="O18" s="12" t="n">
        <v>4</v>
      </c>
      <c r="P18" s="13" t="n">
        <f aca="false">ROUND(G18*0.25+I18*0.25+K18*0.15+M18*0.15+O18*0.2,2)</f>
        <v>3.85</v>
      </c>
      <c r="Q18" s="12" t="str">
        <f aca="false">IF(P18&gt;=4,"P1 立即启动",IF(P18&gt;=3.6,"P2 半年内推进",IF(P18&gt;=3.2,"P3 储备观察","P4 暂缓")))</f>
        <v>P2 半年内推进</v>
      </c>
      <c r="R18" s="7" t="s">
        <v>178</v>
      </c>
      <c r="S18" s="7" t="s">
        <v>179</v>
      </c>
    </row>
    <row r="19" customFormat="false" ht="30" hidden="false" customHeight="true" outlineLevel="0" collapsed="false">
      <c r="A19" s="14" t="n">
        <v>18</v>
      </c>
      <c r="B19" s="15" t="s">
        <v>88</v>
      </c>
      <c r="C19" s="15" t="s">
        <v>180</v>
      </c>
      <c r="D19" s="15" t="s">
        <v>181</v>
      </c>
      <c r="E19" s="15" t="s">
        <v>182</v>
      </c>
      <c r="F19" s="15" t="s">
        <v>19</v>
      </c>
      <c r="G19" s="14" t="n">
        <v>4</v>
      </c>
      <c r="H19" s="15" t="s">
        <v>25</v>
      </c>
      <c r="I19" s="14" t="n">
        <v>4</v>
      </c>
      <c r="J19" s="15" t="s">
        <v>33</v>
      </c>
      <c r="K19" s="14" t="n">
        <v>3</v>
      </c>
      <c r="L19" s="15" t="s">
        <v>38</v>
      </c>
      <c r="M19" s="14" t="n">
        <v>4</v>
      </c>
      <c r="N19" s="15" t="s">
        <v>45</v>
      </c>
      <c r="O19" s="14" t="n">
        <v>4</v>
      </c>
      <c r="P19" s="16" t="n">
        <f aca="false">ROUND(G19*0.25+I19*0.25+K19*0.15+M19*0.15+O19*0.2,2)</f>
        <v>3.85</v>
      </c>
      <c r="Q19" s="14" t="str">
        <f aca="false">IF(P19&gt;=4,"P1 立即启动",IF(P19&gt;=3.6,"P2 半年内推进",IF(P19&gt;=3.2,"P3 储备观察","P4 暂缓")))</f>
        <v>P2 半年内推进</v>
      </c>
      <c r="R19" s="15" t="s">
        <v>183</v>
      </c>
      <c r="S19" s="15" t="s">
        <v>184</v>
      </c>
    </row>
    <row r="20" customFormat="false" ht="30" hidden="false" customHeight="true" outlineLevel="0" collapsed="false">
      <c r="A20" s="12" t="n">
        <v>19</v>
      </c>
      <c r="B20" s="7" t="s">
        <v>185</v>
      </c>
      <c r="C20" s="7" t="s">
        <v>186</v>
      </c>
      <c r="D20" s="7" t="s">
        <v>187</v>
      </c>
      <c r="E20" s="7" t="s">
        <v>188</v>
      </c>
      <c r="F20" s="7" t="s">
        <v>18</v>
      </c>
      <c r="G20" s="12" t="n">
        <v>5</v>
      </c>
      <c r="H20" s="7" t="s">
        <v>26</v>
      </c>
      <c r="I20" s="12" t="n">
        <v>3</v>
      </c>
      <c r="J20" s="7" t="s">
        <v>33</v>
      </c>
      <c r="K20" s="12" t="n">
        <v>3</v>
      </c>
      <c r="L20" s="7" t="s">
        <v>38</v>
      </c>
      <c r="M20" s="12" t="n">
        <v>4</v>
      </c>
      <c r="N20" s="7" t="s">
        <v>45</v>
      </c>
      <c r="O20" s="12" t="n">
        <v>4</v>
      </c>
      <c r="P20" s="13" t="n">
        <f aca="false">ROUND(G20*0.25+I20*0.25+K20*0.15+M20*0.15+O20*0.2,2)</f>
        <v>3.85</v>
      </c>
      <c r="Q20" s="12" t="str">
        <f aca="false">IF(P20&gt;=4,"P1 立即启动",IF(P20&gt;=3.6,"P2 半年内推进",IF(P20&gt;=3.2,"P3 储备观察","P4 暂缓")))</f>
        <v>P2 半年内推进</v>
      </c>
      <c r="R20" s="7" t="s">
        <v>189</v>
      </c>
      <c r="S20" s="7" t="s">
        <v>190</v>
      </c>
    </row>
    <row r="21" customFormat="false" ht="30" hidden="false" customHeight="true" outlineLevel="0" collapsed="false">
      <c r="A21" s="14" t="n">
        <v>20</v>
      </c>
      <c r="B21" s="15" t="s">
        <v>185</v>
      </c>
      <c r="C21" s="15" t="s">
        <v>191</v>
      </c>
      <c r="D21" s="15" t="s">
        <v>192</v>
      </c>
      <c r="E21" s="15" t="s">
        <v>193</v>
      </c>
      <c r="F21" s="15" t="s">
        <v>18</v>
      </c>
      <c r="G21" s="14" t="n">
        <v>5</v>
      </c>
      <c r="H21" s="15" t="s">
        <v>26</v>
      </c>
      <c r="I21" s="14" t="n">
        <v>3</v>
      </c>
      <c r="J21" s="15" t="s">
        <v>33</v>
      </c>
      <c r="K21" s="14" t="n">
        <v>3</v>
      </c>
      <c r="L21" s="15" t="s">
        <v>38</v>
      </c>
      <c r="M21" s="14" t="n">
        <v>4</v>
      </c>
      <c r="N21" s="15" t="s">
        <v>45</v>
      </c>
      <c r="O21" s="14" t="n">
        <v>4</v>
      </c>
      <c r="P21" s="16" t="n">
        <f aca="false">ROUND(G21*0.25+I21*0.25+K21*0.15+M21*0.15+O21*0.2,2)</f>
        <v>3.85</v>
      </c>
      <c r="Q21" s="14" t="str">
        <f aca="false">IF(P21&gt;=4,"P1 立即启动",IF(P21&gt;=3.6,"P2 半年内推进",IF(P21&gt;=3.2,"P3 储备观察","P4 暂缓")))</f>
        <v>P2 半年内推进</v>
      </c>
      <c r="R21" s="15" t="s">
        <v>194</v>
      </c>
      <c r="S21" s="15" t="s">
        <v>195</v>
      </c>
    </row>
    <row r="22" customFormat="false" ht="30" hidden="false" customHeight="true" outlineLevel="0" collapsed="false">
      <c r="A22" s="12" t="n">
        <v>21</v>
      </c>
      <c r="B22" s="7" t="s">
        <v>126</v>
      </c>
      <c r="C22" s="7" t="s">
        <v>127</v>
      </c>
      <c r="D22" s="7" t="s">
        <v>196</v>
      </c>
      <c r="E22" s="7" t="s">
        <v>197</v>
      </c>
      <c r="F22" s="7" t="s">
        <v>20</v>
      </c>
      <c r="G22" s="12" t="n">
        <v>3</v>
      </c>
      <c r="H22" s="7" t="s">
        <v>24</v>
      </c>
      <c r="I22" s="12" t="n">
        <v>5</v>
      </c>
      <c r="J22" s="7" t="s">
        <v>33</v>
      </c>
      <c r="K22" s="12" t="n">
        <v>3</v>
      </c>
      <c r="L22" s="7" t="s">
        <v>38</v>
      </c>
      <c r="M22" s="12" t="n">
        <v>4</v>
      </c>
      <c r="N22" s="7" t="s">
        <v>45</v>
      </c>
      <c r="O22" s="12" t="n">
        <v>4</v>
      </c>
      <c r="P22" s="13" t="n">
        <f aca="false">ROUND(G22*0.25+I22*0.25+K22*0.15+M22*0.15+O22*0.2,2)</f>
        <v>3.85</v>
      </c>
      <c r="Q22" s="12" t="str">
        <f aca="false">IF(P22&gt;=4,"P1 立即启动",IF(P22&gt;=3.6,"P2 半年内推进",IF(P22&gt;=3.2,"P3 储备观察","P4 暂缓")))</f>
        <v>P2 半年内推进</v>
      </c>
      <c r="R22" s="7" t="s">
        <v>198</v>
      </c>
      <c r="S22" s="7" t="s">
        <v>199</v>
      </c>
    </row>
    <row r="23" customFormat="false" ht="30" hidden="false" customHeight="true" outlineLevel="0" collapsed="false">
      <c r="A23" s="14" t="n">
        <v>22</v>
      </c>
      <c r="B23" s="15" t="s">
        <v>126</v>
      </c>
      <c r="C23" s="15" t="s">
        <v>200</v>
      </c>
      <c r="D23" s="15" t="s">
        <v>201</v>
      </c>
      <c r="E23" s="15" t="s">
        <v>202</v>
      </c>
      <c r="F23" s="15" t="s">
        <v>20</v>
      </c>
      <c r="G23" s="14" t="n">
        <v>3</v>
      </c>
      <c r="H23" s="15" t="s">
        <v>24</v>
      </c>
      <c r="I23" s="14" t="n">
        <v>5</v>
      </c>
      <c r="J23" s="15" t="s">
        <v>33</v>
      </c>
      <c r="K23" s="14" t="n">
        <v>3</v>
      </c>
      <c r="L23" s="15" t="s">
        <v>38</v>
      </c>
      <c r="M23" s="14" t="n">
        <v>4</v>
      </c>
      <c r="N23" s="15" t="s">
        <v>45</v>
      </c>
      <c r="O23" s="14" t="n">
        <v>4</v>
      </c>
      <c r="P23" s="16" t="n">
        <f aca="false">ROUND(G23*0.25+I23*0.25+K23*0.15+M23*0.15+O23*0.2,2)</f>
        <v>3.85</v>
      </c>
      <c r="Q23" s="14" t="str">
        <f aca="false">IF(P23&gt;=4,"P1 立即启动",IF(P23&gt;=3.6,"P2 半年内推进",IF(P23&gt;=3.2,"P3 储备观察","P4 暂缓")))</f>
        <v>P2 半年内推进</v>
      </c>
      <c r="R23" s="15" t="s">
        <v>203</v>
      </c>
      <c r="S23" s="15" t="s">
        <v>204</v>
      </c>
    </row>
    <row r="24" customFormat="false" ht="30" hidden="false" customHeight="true" outlineLevel="0" collapsed="false">
      <c r="A24" s="12" t="n">
        <v>23</v>
      </c>
      <c r="B24" s="7" t="s">
        <v>94</v>
      </c>
      <c r="C24" s="7" t="s">
        <v>205</v>
      </c>
      <c r="D24" s="7" t="s">
        <v>206</v>
      </c>
      <c r="E24" s="7" t="s">
        <v>207</v>
      </c>
      <c r="F24" s="7" t="s">
        <v>18</v>
      </c>
      <c r="G24" s="12" t="n">
        <v>5</v>
      </c>
      <c r="H24" s="7" t="s">
        <v>26</v>
      </c>
      <c r="I24" s="12" t="n">
        <v>3</v>
      </c>
      <c r="J24" s="7" t="s">
        <v>32</v>
      </c>
      <c r="K24" s="12" t="n">
        <v>4</v>
      </c>
      <c r="L24" s="7" t="s">
        <v>39</v>
      </c>
      <c r="M24" s="12" t="n">
        <v>3</v>
      </c>
      <c r="N24" s="7" t="s">
        <v>45</v>
      </c>
      <c r="O24" s="12" t="n">
        <v>4</v>
      </c>
      <c r="P24" s="13" t="n">
        <f aca="false">ROUND(G24*0.25+I24*0.25+K24*0.15+M24*0.15+O24*0.2,2)</f>
        <v>3.85</v>
      </c>
      <c r="Q24" s="12" t="str">
        <f aca="false">IF(P24&gt;=4,"P1 立即启动",IF(P24&gt;=3.6,"P2 半年内推进",IF(P24&gt;=3.2,"P3 储备观察","P4 暂缓")))</f>
        <v>P2 半年内推进</v>
      </c>
      <c r="R24" s="7" t="s">
        <v>208</v>
      </c>
      <c r="S24" s="7" t="s">
        <v>209</v>
      </c>
    </row>
    <row r="25" customFormat="false" ht="30" hidden="false" customHeight="true" outlineLevel="0" collapsed="false">
      <c r="A25" s="14" t="n">
        <v>24</v>
      </c>
      <c r="B25" s="15" t="s">
        <v>94</v>
      </c>
      <c r="C25" s="15" t="s">
        <v>116</v>
      </c>
      <c r="D25" s="15" t="s">
        <v>210</v>
      </c>
      <c r="E25" s="15" t="s">
        <v>211</v>
      </c>
      <c r="F25" s="15" t="s">
        <v>19</v>
      </c>
      <c r="G25" s="14" t="n">
        <v>4</v>
      </c>
      <c r="H25" s="15" t="s">
        <v>24</v>
      </c>
      <c r="I25" s="14" t="n">
        <v>5</v>
      </c>
      <c r="J25" s="15" t="s">
        <v>33</v>
      </c>
      <c r="K25" s="14" t="n">
        <v>3</v>
      </c>
      <c r="L25" s="15" t="s">
        <v>39</v>
      </c>
      <c r="M25" s="14" t="n">
        <v>3</v>
      </c>
      <c r="N25" s="15" t="s">
        <v>46</v>
      </c>
      <c r="O25" s="14" t="n">
        <v>3</v>
      </c>
      <c r="P25" s="16" t="n">
        <f aca="false">ROUND(G25*0.25+I25*0.25+K25*0.15+M25*0.15+O25*0.2,2)</f>
        <v>3.75</v>
      </c>
      <c r="Q25" s="14" t="str">
        <f aca="false">IF(P25&gt;=4,"P1 立即启动",IF(P25&gt;=3.6,"P2 半年内推进",IF(P25&gt;=3.2,"P3 储备观察","P4 暂缓")))</f>
        <v>P2 半年内推进</v>
      </c>
      <c r="R25" s="15" t="s">
        <v>212</v>
      </c>
      <c r="S25" s="15" t="s">
        <v>213</v>
      </c>
    </row>
    <row r="26" customFormat="false" ht="30" hidden="false" customHeight="true" outlineLevel="0" collapsed="false">
      <c r="A26" s="12" t="n">
        <v>25</v>
      </c>
      <c r="B26" s="7" t="s">
        <v>94</v>
      </c>
      <c r="C26" s="7" t="s">
        <v>214</v>
      </c>
      <c r="D26" s="7" t="s">
        <v>215</v>
      </c>
      <c r="E26" s="7" t="s">
        <v>216</v>
      </c>
      <c r="F26" s="7" t="s">
        <v>19</v>
      </c>
      <c r="G26" s="12" t="n">
        <v>4</v>
      </c>
      <c r="H26" s="7" t="s">
        <v>24</v>
      </c>
      <c r="I26" s="12" t="n">
        <v>5</v>
      </c>
      <c r="J26" s="7" t="s">
        <v>33</v>
      </c>
      <c r="K26" s="12" t="n">
        <v>3</v>
      </c>
      <c r="L26" s="7" t="s">
        <v>39</v>
      </c>
      <c r="M26" s="12" t="n">
        <v>3</v>
      </c>
      <c r="N26" s="7" t="s">
        <v>46</v>
      </c>
      <c r="O26" s="12" t="n">
        <v>3</v>
      </c>
      <c r="P26" s="13" t="n">
        <f aca="false">ROUND(G26*0.25+I26*0.25+K26*0.15+M26*0.15+O26*0.2,2)</f>
        <v>3.75</v>
      </c>
      <c r="Q26" s="12" t="str">
        <f aca="false">IF(P26&gt;=4,"P1 立即启动",IF(P26&gt;=3.6,"P2 半年内推进",IF(P26&gt;=3.2,"P3 储备观察","P4 暂缓")))</f>
        <v>P2 半年内推进</v>
      </c>
      <c r="R26" s="7" t="s">
        <v>217</v>
      </c>
      <c r="S26" s="7" t="s">
        <v>218</v>
      </c>
    </row>
    <row r="27" customFormat="false" ht="30" hidden="false" customHeight="true" outlineLevel="0" collapsed="false">
      <c r="A27" s="14" t="n">
        <v>26</v>
      </c>
      <c r="B27" s="15" t="s">
        <v>219</v>
      </c>
      <c r="C27" s="15" t="s">
        <v>220</v>
      </c>
      <c r="D27" s="15" t="s">
        <v>221</v>
      </c>
      <c r="E27" s="15" t="s">
        <v>222</v>
      </c>
      <c r="F27" s="15" t="s">
        <v>18</v>
      </c>
      <c r="G27" s="14" t="n">
        <v>5</v>
      </c>
      <c r="H27" s="15" t="s">
        <v>25</v>
      </c>
      <c r="I27" s="14" t="n">
        <v>4</v>
      </c>
      <c r="J27" s="15" t="s">
        <v>33</v>
      </c>
      <c r="K27" s="14" t="n">
        <v>3</v>
      </c>
      <c r="L27" s="15" t="s">
        <v>39</v>
      </c>
      <c r="M27" s="14" t="n">
        <v>3</v>
      </c>
      <c r="N27" s="15" t="s">
        <v>46</v>
      </c>
      <c r="O27" s="14" t="n">
        <v>3</v>
      </c>
      <c r="P27" s="16" t="n">
        <f aca="false">ROUND(G27*0.25+I27*0.25+K27*0.15+M27*0.15+O27*0.2,2)</f>
        <v>3.75</v>
      </c>
      <c r="Q27" s="14" t="str">
        <f aca="false">IF(P27&gt;=4,"P1 立即启动",IF(P27&gt;=3.6,"P2 半年内推进",IF(P27&gt;=3.2,"P3 储备观察","P4 暂缓")))</f>
        <v>P2 半年内推进</v>
      </c>
      <c r="R27" s="15" t="s">
        <v>223</v>
      </c>
      <c r="S27" s="17" t="s">
        <v>224</v>
      </c>
    </row>
    <row r="28" customFormat="false" ht="30" hidden="false" customHeight="true" outlineLevel="0" collapsed="false">
      <c r="A28" s="12" t="n">
        <v>27</v>
      </c>
      <c r="B28" s="7" t="s">
        <v>225</v>
      </c>
      <c r="C28" s="7" t="s">
        <v>226</v>
      </c>
      <c r="D28" s="7" t="s">
        <v>227</v>
      </c>
      <c r="E28" s="7" t="s">
        <v>228</v>
      </c>
      <c r="F28" s="7" t="s">
        <v>19</v>
      </c>
      <c r="G28" s="12" t="n">
        <v>4</v>
      </c>
      <c r="H28" s="7" t="s">
        <v>24</v>
      </c>
      <c r="I28" s="12" t="n">
        <v>5</v>
      </c>
      <c r="J28" s="7" t="s">
        <v>33</v>
      </c>
      <c r="K28" s="12" t="n">
        <v>3</v>
      </c>
      <c r="L28" s="7" t="s">
        <v>39</v>
      </c>
      <c r="M28" s="12" t="n">
        <v>3</v>
      </c>
      <c r="N28" s="7" t="s">
        <v>46</v>
      </c>
      <c r="O28" s="12" t="n">
        <v>3</v>
      </c>
      <c r="P28" s="13" t="n">
        <f aca="false">ROUND(G28*0.25+I28*0.25+K28*0.15+M28*0.15+O28*0.2,2)</f>
        <v>3.75</v>
      </c>
      <c r="Q28" s="12" t="str">
        <f aca="false">IF(P28&gt;=4,"P1 立即启动",IF(P28&gt;=3.6,"P2 半年内推进",IF(P28&gt;=3.2,"P3 储备观察","P4 暂缓")))</f>
        <v>P2 半年内推进</v>
      </c>
      <c r="R28" s="7" t="s">
        <v>229</v>
      </c>
      <c r="S28" s="7" t="s">
        <v>230</v>
      </c>
    </row>
    <row r="29" customFormat="false" ht="30" hidden="false" customHeight="true" outlineLevel="0" collapsed="false">
      <c r="A29" s="14" t="n">
        <v>28</v>
      </c>
      <c r="B29" s="15" t="s">
        <v>231</v>
      </c>
      <c r="C29" s="15" t="s">
        <v>232</v>
      </c>
      <c r="D29" s="15" t="s">
        <v>233</v>
      </c>
      <c r="E29" s="15" t="s">
        <v>234</v>
      </c>
      <c r="F29" s="15" t="s">
        <v>22</v>
      </c>
      <c r="G29" s="14" t="n">
        <v>1</v>
      </c>
      <c r="H29" s="15" t="s">
        <v>24</v>
      </c>
      <c r="I29" s="14" t="n">
        <v>5</v>
      </c>
      <c r="J29" s="15" t="s">
        <v>33</v>
      </c>
      <c r="K29" s="14" t="n">
        <v>3</v>
      </c>
      <c r="L29" s="15" t="s">
        <v>37</v>
      </c>
      <c r="M29" s="14" t="n">
        <v>5</v>
      </c>
      <c r="N29" s="15" t="s">
        <v>44</v>
      </c>
      <c r="O29" s="14" t="n">
        <v>5</v>
      </c>
      <c r="P29" s="16" t="n">
        <f aca="false">ROUND(G29*0.25+I29*0.25+K29*0.15+M29*0.15+O29*0.2,2)</f>
        <v>3.7</v>
      </c>
      <c r="Q29" s="14" t="str">
        <f aca="false">IF(P29&gt;=4,"P1 立即启动",IF(P29&gt;=3.6,"P2 半年内推进",IF(P29&gt;=3.2,"P3 储备观察","P4 暂缓")))</f>
        <v>P2 半年内推进</v>
      </c>
      <c r="R29" s="15" t="s">
        <v>235</v>
      </c>
      <c r="S29" s="15" t="s">
        <v>236</v>
      </c>
    </row>
    <row r="30" customFormat="false" ht="30" hidden="false" customHeight="true" outlineLevel="0" collapsed="false">
      <c r="A30" s="12" t="n">
        <v>29</v>
      </c>
      <c r="B30" s="7" t="s">
        <v>105</v>
      </c>
      <c r="C30" s="7" t="s">
        <v>106</v>
      </c>
      <c r="D30" s="7" t="s">
        <v>237</v>
      </c>
      <c r="E30" s="7" t="s">
        <v>238</v>
      </c>
      <c r="F30" s="7" t="s">
        <v>20</v>
      </c>
      <c r="G30" s="12" t="n">
        <v>3</v>
      </c>
      <c r="H30" s="7" t="s">
        <v>24</v>
      </c>
      <c r="I30" s="12" t="n">
        <v>5</v>
      </c>
      <c r="J30" s="7" t="s">
        <v>33</v>
      </c>
      <c r="K30" s="12" t="n">
        <v>3</v>
      </c>
      <c r="L30" s="7" t="s">
        <v>39</v>
      </c>
      <c r="M30" s="12" t="n">
        <v>3</v>
      </c>
      <c r="N30" s="7" t="s">
        <v>45</v>
      </c>
      <c r="O30" s="12" t="n">
        <v>4</v>
      </c>
      <c r="P30" s="13" t="n">
        <f aca="false">ROUND(G30*0.25+I30*0.25+K30*0.15+M30*0.15+O30*0.2,2)</f>
        <v>3.7</v>
      </c>
      <c r="Q30" s="12" t="str">
        <f aca="false">IF(P30&gt;=4,"P1 立即启动",IF(P30&gt;=3.6,"P2 半年内推进",IF(P30&gt;=3.2,"P3 储备观察","P4 暂缓")))</f>
        <v>P2 半年内推进</v>
      </c>
      <c r="R30" s="7" t="s">
        <v>239</v>
      </c>
      <c r="S30" s="7" t="s">
        <v>240</v>
      </c>
    </row>
    <row r="31" customFormat="false" ht="30" hidden="false" customHeight="true" outlineLevel="0" collapsed="false">
      <c r="A31" s="14" t="n">
        <v>30</v>
      </c>
      <c r="B31" s="15" t="s">
        <v>105</v>
      </c>
      <c r="C31" s="15" t="s">
        <v>241</v>
      </c>
      <c r="D31" s="15" t="s">
        <v>242</v>
      </c>
      <c r="E31" s="15" t="s">
        <v>243</v>
      </c>
      <c r="F31" s="15" t="s">
        <v>20</v>
      </c>
      <c r="G31" s="14" t="n">
        <v>3</v>
      </c>
      <c r="H31" s="15" t="s">
        <v>24</v>
      </c>
      <c r="I31" s="14" t="n">
        <v>5</v>
      </c>
      <c r="J31" s="15" t="s">
        <v>33</v>
      </c>
      <c r="K31" s="14" t="n">
        <v>3</v>
      </c>
      <c r="L31" s="15" t="s">
        <v>39</v>
      </c>
      <c r="M31" s="14" t="n">
        <v>3</v>
      </c>
      <c r="N31" s="15" t="s">
        <v>45</v>
      </c>
      <c r="O31" s="14" t="n">
        <v>4</v>
      </c>
      <c r="P31" s="16" t="n">
        <f aca="false">ROUND(G31*0.25+I31*0.25+K31*0.15+M31*0.15+O31*0.2,2)</f>
        <v>3.7</v>
      </c>
      <c r="Q31" s="14" t="str">
        <f aca="false">IF(P31&gt;=4,"P1 立即启动",IF(P31&gt;=3.6,"P2 半年内推进",IF(P31&gt;=3.2,"P3 储备观察","P4 暂缓")))</f>
        <v>P2 半年内推进</v>
      </c>
      <c r="R31" s="15" t="s">
        <v>244</v>
      </c>
      <c r="S31" s="15" t="s">
        <v>245</v>
      </c>
    </row>
    <row r="32" customFormat="false" ht="30" hidden="false" customHeight="true" outlineLevel="0" collapsed="false">
      <c r="A32" s="12" t="n">
        <v>31</v>
      </c>
      <c r="B32" s="7" t="s">
        <v>100</v>
      </c>
      <c r="C32" s="7" t="s">
        <v>246</v>
      </c>
      <c r="D32" s="7" t="s">
        <v>247</v>
      </c>
      <c r="E32" s="7" t="s">
        <v>248</v>
      </c>
      <c r="F32" s="7" t="s">
        <v>20</v>
      </c>
      <c r="G32" s="12" t="n">
        <v>3</v>
      </c>
      <c r="H32" s="7" t="s">
        <v>24</v>
      </c>
      <c r="I32" s="12" t="n">
        <v>5</v>
      </c>
      <c r="J32" s="7" t="s">
        <v>33</v>
      </c>
      <c r="K32" s="12" t="n">
        <v>3</v>
      </c>
      <c r="L32" s="7" t="s">
        <v>39</v>
      </c>
      <c r="M32" s="12" t="n">
        <v>3</v>
      </c>
      <c r="N32" s="7" t="s">
        <v>45</v>
      </c>
      <c r="O32" s="12" t="n">
        <v>4</v>
      </c>
      <c r="P32" s="13" t="n">
        <f aca="false">ROUND(G32*0.25+I32*0.25+K32*0.15+M32*0.15+O32*0.2,2)</f>
        <v>3.7</v>
      </c>
      <c r="Q32" s="12" t="str">
        <f aca="false">IF(P32&gt;=4,"P1 立即启动",IF(P32&gt;=3.6,"P2 半年内推进",IF(P32&gt;=3.2,"P3 储备观察","P4 暂缓")))</f>
        <v>P2 半年内推进</v>
      </c>
      <c r="R32" s="7" t="s">
        <v>249</v>
      </c>
      <c r="S32" s="7" t="s">
        <v>250</v>
      </c>
    </row>
    <row r="33" customFormat="false" ht="30" hidden="false" customHeight="true" outlineLevel="0" collapsed="false">
      <c r="A33" s="14" t="n">
        <v>32</v>
      </c>
      <c r="B33" s="15" t="s">
        <v>225</v>
      </c>
      <c r="C33" s="15" t="s">
        <v>251</v>
      </c>
      <c r="D33" s="15" t="s">
        <v>252</v>
      </c>
      <c r="E33" s="15" t="s">
        <v>253</v>
      </c>
      <c r="F33" s="15" t="s">
        <v>20</v>
      </c>
      <c r="G33" s="14" t="n">
        <v>3</v>
      </c>
      <c r="H33" s="15" t="s">
        <v>24</v>
      </c>
      <c r="I33" s="14" t="n">
        <v>5</v>
      </c>
      <c r="J33" s="15" t="s">
        <v>33</v>
      </c>
      <c r="K33" s="14" t="n">
        <v>3</v>
      </c>
      <c r="L33" s="15" t="s">
        <v>39</v>
      </c>
      <c r="M33" s="14" t="n">
        <v>3</v>
      </c>
      <c r="N33" s="15" t="s">
        <v>45</v>
      </c>
      <c r="O33" s="14" t="n">
        <v>4</v>
      </c>
      <c r="P33" s="16" t="n">
        <f aca="false">ROUND(G33*0.25+I33*0.25+K33*0.15+M33*0.15+O33*0.2,2)</f>
        <v>3.7</v>
      </c>
      <c r="Q33" s="14" t="str">
        <f aca="false">IF(P33&gt;=4,"P1 立即启动",IF(P33&gt;=3.6,"P2 半年内推进",IF(P33&gt;=3.2,"P3 储备观察","P4 暂缓")))</f>
        <v>P2 半年内推进</v>
      </c>
      <c r="R33" s="15" t="s">
        <v>254</v>
      </c>
      <c r="S33" s="15" t="s">
        <v>255</v>
      </c>
    </row>
    <row r="34" customFormat="false" ht="30" hidden="false" customHeight="true" outlineLevel="0" collapsed="false">
      <c r="A34" s="12" t="n">
        <v>33</v>
      </c>
      <c r="B34" s="7" t="s">
        <v>256</v>
      </c>
      <c r="C34" s="7" t="s">
        <v>257</v>
      </c>
      <c r="D34" s="7" t="s">
        <v>258</v>
      </c>
      <c r="E34" s="7" t="s">
        <v>259</v>
      </c>
      <c r="F34" s="7" t="s">
        <v>19</v>
      </c>
      <c r="G34" s="12" t="n">
        <v>4</v>
      </c>
      <c r="H34" s="7" t="s">
        <v>25</v>
      </c>
      <c r="I34" s="12" t="n">
        <v>4</v>
      </c>
      <c r="J34" s="7" t="s">
        <v>33</v>
      </c>
      <c r="K34" s="12" t="n">
        <v>3</v>
      </c>
      <c r="L34" s="7" t="s">
        <v>39</v>
      </c>
      <c r="M34" s="12" t="n">
        <v>3</v>
      </c>
      <c r="N34" s="7" t="s">
        <v>45</v>
      </c>
      <c r="O34" s="12" t="n">
        <v>4</v>
      </c>
      <c r="P34" s="13" t="n">
        <f aca="false">ROUND(G34*0.25+I34*0.25+K34*0.15+M34*0.15+O34*0.2,2)</f>
        <v>3.7</v>
      </c>
      <c r="Q34" s="12" t="str">
        <f aca="false">IF(P34&gt;=4,"P1 立即启动",IF(P34&gt;=3.6,"P2 半年内推进",IF(P34&gt;=3.2,"P3 储备观察","P4 暂缓")))</f>
        <v>P2 半年内推进</v>
      </c>
      <c r="R34" s="7" t="s">
        <v>260</v>
      </c>
      <c r="S34" s="7" t="s">
        <v>261</v>
      </c>
    </row>
    <row r="35" customFormat="false" ht="30" hidden="false" customHeight="true" outlineLevel="0" collapsed="false">
      <c r="A35" s="14" t="n">
        <v>34</v>
      </c>
      <c r="B35" s="15" t="s">
        <v>126</v>
      </c>
      <c r="C35" s="15" t="s">
        <v>262</v>
      </c>
      <c r="D35" s="15" t="s">
        <v>263</v>
      </c>
      <c r="E35" s="15" t="s">
        <v>264</v>
      </c>
      <c r="F35" s="15" t="s">
        <v>20</v>
      </c>
      <c r="G35" s="14" t="n">
        <v>3</v>
      </c>
      <c r="H35" s="15" t="s">
        <v>24</v>
      </c>
      <c r="I35" s="14" t="n">
        <v>5</v>
      </c>
      <c r="J35" s="15" t="s">
        <v>34</v>
      </c>
      <c r="K35" s="14" t="n">
        <v>2</v>
      </c>
      <c r="L35" s="15" t="s">
        <v>38</v>
      </c>
      <c r="M35" s="14" t="n">
        <v>4</v>
      </c>
      <c r="N35" s="15" t="s">
        <v>45</v>
      </c>
      <c r="O35" s="14" t="n">
        <v>4</v>
      </c>
      <c r="P35" s="16" t="n">
        <f aca="false">ROUND(G35*0.25+I35*0.25+K35*0.15+M35*0.15+O35*0.2,2)</f>
        <v>3.7</v>
      </c>
      <c r="Q35" s="14" t="str">
        <f aca="false">IF(P35&gt;=4,"P1 立即启动",IF(P35&gt;=3.6,"P2 半年内推进",IF(P35&gt;=3.2,"P3 储备观察","P4 暂缓")))</f>
        <v>P2 半年内推进</v>
      </c>
      <c r="R35" s="15" t="s">
        <v>265</v>
      </c>
      <c r="S35" s="15" t="s">
        <v>266</v>
      </c>
    </row>
    <row r="36" customFormat="false" ht="30" hidden="false" customHeight="true" outlineLevel="0" collapsed="false">
      <c r="A36" s="12" t="n">
        <v>35</v>
      </c>
      <c r="B36" s="7" t="s">
        <v>126</v>
      </c>
      <c r="C36" s="7" t="s">
        <v>267</v>
      </c>
      <c r="D36" s="7" t="s">
        <v>268</v>
      </c>
      <c r="E36" s="7" t="s">
        <v>269</v>
      </c>
      <c r="F36" s="7" t="s">
        <v>20</v>
      </c>
      <c r="G36" s="12" t="n">
        <v>3</v>
      </c>
      <c r="H36" s="7" t="s">
        <v>24</v>
      </c>
      <c r="I36" s="12" t="n">
        <v>5</v>
      </c>
      <c r="J36" s="7" t="s">
        <v>33</v>
      </c>
      <c r="K36" s="12" t="n">
        <v>3</v>
      </c>
      <c r="L36" s="7" t="s">
        <v>39</v>
      </c>
      <c r="M36" s="12" t="n">
        <v>3</v>
      </c>
      <c r="N36" s="7" t="s">
        <v>45</v>
      </c>
      <c r="O36" s="12" t="n">
        <v>4</v>
      </c>
      <c r="P36" s="13" t="n">
        <f aca="false">ROUND(G36*0.25+I36*0.25+K36*0.15+M36*0.15+O36*0.2,2)</f>
        <v>3.7</v>
      </c>
      <c r="Q36" s="12" t="str">
        <f aca="false">IF(P36&gt;=4,"P1 立即启动",IF(P36&gt;=3.6,"P2 半年内推进",IF(P36&gt;=3.2,"P3 储备观察","P4 暂缓")))</f>
        <v>P2 半年内推进</v>
      </c>
      <c r="R36" s="7" t="s">
        <v>270</v>
      </c>
      <c r="S36" s="7" t="s">
        <v>271</v>
      </c>
    </row>
    <row r="37" customFormat="false" ht="30" hidden="false" customHeight="true" outlineLevel="0" collapsed="false">
      <c r="A37" s="14" t="n">
        <v>36</v>
      </c>
      <c r="B37" s="15" t="s">
        <v>272</v>
      </c>
      <c r="C37" s="15" t="s">
        <v>273</v>
      </c>
      <c r="D37" s="15" t="s">
        <v>274</v>
      </c>
      <c r="E37" s="15" t="s">
        <v>275</v>
      </c>
      <c r="F37" s="15" t="s">
        <v>20</v>
      </c>
      <c r="G37" s="14" t="n">
        <v>3</v>
      </c>
      <c r="H37" s="15" t="s">
        <v>24</v>
      </c>
      <c r="I37" s="14" t="n">
        <v>5</v>
      </c>
      <c r="J37" s="15" t="s">
        <v>34</v>
      </c>
      <c r="K37" s="14" t="n">
        <v>2</v>
      </c>
      <c r="L37" s="15" t="s">
        <v>38</v>
      </c>
      <c r="M37" s="14" t="n">
        <v>4</v>
      </c>
      <c r="N37" s="15" t="s">
        <v>45</v>
      </c>
      <c r="O37" s="14" t="n">
        <v>4</v>
      </c>
      <c r="P37" s="16" t="n">
        <f aca="false">ROUND(G37*0.25+I37*0.25+K37*0.15+M37*0.15+O37*0.2,2)</f>
        <v>3.7</v>
      </c>
      <c r="Q37" s="14" t="str">
        <f aca="false">IF(P37&gt;=4,"P1 立即启动",IF(P37&gt;=3.6,"P2 半年内推进",IF(P37&gt;=3.2,"P3 储备观察","P4 暂缓")))</f>
        <v>P2 半年内推进</v>
      </c>
      <c r="R37" s="17" t="s">
        <v>276</v>
      </c>
      <c r="S37" s="15" t="s">
        <v>277</v>
      </c>
    </row>
    <row r="38" customFormat="false" ht="30" hidden="false" customHeight="true" outlineLevel="0" collapsed="false">
      <c r="A38" s="12" t="n">
        <v>37</v>
      </c>
      <c r="B38" s="7" t="s">
        <v>185</v>
      </c>
      <c r="C38" s="7" t="s">
        <v>278</v>
      </c>
      <c r="D38" s="7" t="s">
        <v>279</v>
      </c>
      <c r="E38" s="7" t="s">
        <v>280</v>
      </c>
      <c r="F38" s="7" t="s">
        <v>18</v>
      </c>
      <c r="G38" s="12" t="n">
        <v>5</v>
      </c>
      <c r="H38" s="7" t="s">
        <v>26</v>
      </c>
      <c r="I38" s="12" t="n">
        <v>3</v>
      </c>
      <c r="J38" s="7" t="s">
        <v>33</v>
      </c>
      <c r="K38" s="12" t="n">
        <v>3</v>
      </c>
      <c r="L38" s="7" t="s">
        <v>38</v>
      </c>
      <c r="M38" s="12" t="n">
        <v>4</v>
      </c>
      <c r="N38" s="7" t="s">
        <v>46</v>
      </c>
      <c r="O38" s="12" t="n">
        <v>3</v>
      </c>
      <c r="P38" s="13" t="n">
        <f aca="false">ROUND(G38*0.25+I38*0.25+K38*0.15+M38*0.15+O38*0.2,2)</f>
        <v>3.65</v>
      </c>
      <c r="Q38" s="12" t="str">
        <f aca="false">IF(P38&gt;=4,"P1 立即启动",IF(P38&gt;=3.6,"P2 半年内推进",IF(P38&gt;=3.2,"P3 储备观察","P4 暂缓")))</f>
        <v>P2 半年内推进</v>
      </c>
      <c r="R38" s="7" t="s">
        <v>281</v>
      </c>
      <c r="S38" s="7" t="s">
        <v>282</v>
      </c>
    </row>
    <row r="39" customFormat="false" ht="30" hidden="false" customHeight="true" outlineLevel="0" collapsed="false">
      <c r="A39" s="14" t="n">
        <v>38</v>
      </c>
      <c r="B39" s="15" t="s">
        <v>126</v>
      </c>
      <c r="C39" s="15" t="s">
        <v>283</v>
      </c>
      <c r="D39" s="15" t="s">
        <v>284</v>
      </c>
      <c r="E39" s="15" t="s">
        <v>285</v>
      </c>
      <c r="F39" s="15" t="s">
        <v>20</v>
      </c>
      <c r="G39" s="14" t="n">
        <v>3</v>
      </c>
      <c r="H39" s="15" t="s">
        <v>24</v>
      </c>
      <c r="I39" s="14" t="n">
        <v>5</v>
      </c>
      <c r="J39" s="15" t="s">
        <v>33</v>
      </c>
      <c r="K39" s="14" t="n">
        <v>3</v>
      </c>
      <c r="L39" s="15" t="s">
        <v>38</v>
      </c>
      <c r="M39" s="14" t="n">
        <v>4</v>
      </c>
      <c r="N39" s="15" t="s">
        <v>46</v>
      </c>
      <c r="O39" s="14" t="n">
        <v>3</v>
      </c>
      <c r="P39" s="16" t="n">
        <f aca="false">ROUND(G39*0.25+I39*0.25+K39*0.15+M39*0.15+O39*0.2,2)</f>
        <v>3.65</v>
      </c>
      <c r="Q39" s="14" t="str">
        <f aca="false">IF(P39&gt;=4,"P1 立即启动",IF(P39&gt;=3.6,"P2 半年内推进",IF(P39&gt;=3.2,"P3 储备观察","P4 暂缓")))</f>
        <v>P2 半年内推进</v>
      </c>
      <c r="R39" s="15" t="s">
        <v>286</v>
      </c>
      <c r="S39" s="15" t="s">
        <v>287</v>
      </c>
    </row>
    <row r="40" customFormat="false" ht="30" hidden="false" customHeight="true" outlineLevel="0" collapsed="false">
      <c r="A40" s="12" t="n">
        <v>39</v>
      </c>
      <c r="B40" s="7" t="s">
        <v>94</v>
      </c>
      <c r="C40" s="7" t="s">
        <v>288</v>
      </c>
      <c r="D40" s="7" t="s">
        <v>289</v>
      </c>
      <c r="E40" s="7" t="s">
        <v>290</v>
      </c>
      <c r="F40" s="7" t="s">
        <v>18</v>
      </c>
      <c r="G40" s="12" t="n">
        <v>5</v>
      </c>
      <c r="H40" s="7" t="s">
        <v>26</v>
      </c>
      <c r="I40" s="12" t="n">
        <v>3</v>
      </c>
      <c r="J40" s="7" t="s">
        <v>32</v>
      </c>
      <c r="K40" s="12" t="n">
        <v>4</v>
      </c>
      <c r="L40" s="7" t="s">
        <v>39</v>
      </c>
      <c r="M40" s="12" t="n">
        <v>3</v>
      </c>
      <c r="N40" s="7" t="s">
        <v>46</v>
      </c>
      <c r="O40" s="12" t="n">
        <v>3</v>
      </c>
      <c r="P40" s="13" t="n">
        <f aca="false">ROUND(G40*0.25+I40*0.25+K40*0.15+M40*0.15+O40*0.2,2)</f>
        <v>3.65</v>
      </c>
      <c r="Q40" s="12" t="str">
        <f aca="false">IF(P40&gt;=4,"P1 立即启动",IF(P40&gt;=3.6,"P2 半年内推进",IF(P40&gt;=3.2,"P3 储备观察","P4 暂缓")))</f>
        <v>P2 半年内推进</v>
      </c>
      <c r="R40" s="7" t="s">
        <v>291</v>
      </c>
      <c r="S40" s="7" t="s">
        <v>292</v>
      </c>
    </row>
    <row r="41" customFormat="false" ht="30" hidden="false" customHeight="true" outlineLevel="0" collapsed="false">
      <c r="A41" s="14" t="n">
        <v>40</v>
      </c>
      <c r="B41" s="15" t="s">
        <v>293</v>
      </c>
      <c r="C41" s="15" t="s">
        <v>294</v>
      </c>
      <c r="D41" s="15" t="s">
        <v>295</v>
      </c>
      <c r="E41" s="15" t="s">
        <v>296</v>
      </c>
      <c r="F41" s="15" t="s">
        <v>21</v>
      </c>
      <c r="G41" s="14" t="n">
        <v>2</v>
      </c>
      <c r="H41" s="15" t="s">
        <v>24</v>
      </c>
      <c r="I41" s="14" t="n">
        <v>5</v>
      </c>
      <c r="J41" s="15" t="s">
        <v>33</v>
      </c>
      <c r="K41" s="14" t="n">
        <v>3</v>
      </c>
      <c r="L41" s="15" t="s">
        <v>38</v>
      </c>
      <c r="M41" s="14" t="n">
        <v>4</v>
      </c>
      <c r="N41" s="15" t="s">
        <v>45</v>
      </c>
      <c r="O41" s="14" t="n">
        <v>4</v>
      </c>
      <c r="P41" s="16" t="n">
        <f aca="false">ROUND(G41*0.25+I41*0.25+K41*0.15+M41*0.15+O41*0.2,2)</f>
        <v>3.6</v>
      </c>
      <c r="Q41" s="14" t="str">
        <f aca="false">IF(P41&gt;=4,"P1 立即启动",IF(P41&gt;=3.6,"P2 半年内推进",IF(P41&gt;=3.2,"P3 储备观察","P4 暂缓")))</f>
        <v>P2 半年内推进</v>
      </c>
      <c r="R41" s="15" t="s">
        <v>297</v>
      </c>
      <c r="S41" s="15" t="s">
        <v>298</v>
      </c>
    </row>
    <row r="42" customFormat="false" ht="30" hidden="false" customHeight="true" outlineLevel="0" collapsed="false">
      <c r="A42" s="12" t="n">
        <v>41</v>
      </c>
      <c r="B42" s="7" t="s">
        <v>293</v>
      </c>
      <c r="C42" s="7" t="s">
        <v>299</v>
      </c>
      <c r="D42" s="7" t="s">
        <v>300</v>
      </c>
      <c r="E42" s="7" t="s">
        <v>301</v>
      </c>
      <c r="F42" s="7" t="s">
        <v>20</v>
      </c>
      <c r="G42" s="12" t="n">
        <v>3</v>
      </c>
      <c r="H42" s="7" t="s">
        <v>25</v>
      </c>
      <c r="I42" s="12" t="n">
        <v>4</v>
      </c>
      <c r="J42" s="7" t="s">
        <v>33</v>
      </c>
      <c r="K42" s="12" t="n">
        <v>3</v>
      </c>
      <c r="L42" s="7" t="s">
        <v>38</v>
      </c>
      <c r="M42" s="12" t="n">
        <v>4</v>
      </c>
      <c r="N42" s="7" t="s">
        <v>45</v>
      </c>
      <c r="O42" s="12" t="n">
        <v>4</v>
      </c>
      <c r="P42" s="13" t="n">
        <f aca="false">ROUND(G42*0.25+I42*0.25+K42*0.15+M42*0.15+O42*0.2,2)</f>
        <v>3.6</v>
      </c>
      <c r="Q42" s="12" t="str">
        <f aca="false">IF(P42&gt;=4,"P1 立即启动",IF(P42&gt;=3.6,"P2 半年内推进",IF(P42&gt;=3.2,"P3 储备观察","P4 暂缓")))</f>
        <v>P2 半年内推进</v>
      </c>
      <c r="R42" s="7" t="s">
        <v>302</v>
      </c>
      <c r="S42" s="7" t="s">
        <v>303</v>
      </c>
    </row>
    <row r="43" customFormat="false" ht="30" hidden="false" customHeight="true" outlineLevel="0" collapsed="false">
      <c r="A43" s="14" t="n">
        <v>42</v>
      </c>
      <c r="B43" s="15" t="s">
        <v>94</v>
      </c>
      <c r="C43" s="15" t="s">
        <v>144</v>
      </c>
      <c r="D43" s="15" t="s">
        <v>304</v>
      </c>
      <c r="E43" s="15" t="s">
        <v>305</v>
      </c>
      <c r="F43" s="15" t="s">
        <v>20</v>
      </c>
      <c r="G43" s="14" t="n">
        <v>3</v>
      </c>
      <c r="H43" s="15" t="s">
        <v>25</v>
      </c>
      <c r="I43" s="14" t="n">
        <v>4</v>
      </c>
      <c r="J43" s="15" t="s">
        <v>33</v>
      </c>
      <c r="K43" s="14" t="n">
        <v>3</v>
      </c>
      <c r="L43" s="15" t="s">
        <v>38</v>
      </c>
      <c r="M43" s="14" t="n">
        <v>4</v>
      </c>
      <c r="N43" s="15" t="s">
        <v>45</v>
      </c>
      <c r="O43" s="14" t="n">
        <v>4</v>
      </c>
      <c r="P43" s="16" t="n">
        <f aca="false">ROUND(G43*0.25+I43*0.25+K43*0.15+M43*0.15+O43*0.2,2)</f>
        <v>3.6</v>
      </c>
      <c r="Q43" s="14" t="str">
        <f aca="false">IF(P43&gt;=4,"P1 立即启动",IF(P43&gt;=3.6,"P2 半年内推进",IF(P43&gt;=3.2,"P3 储备观察","P4 暂缓")))</f>
        <v>P2 半年内推进</v>
      </c>
      <c r="R43" s="15" t="s">
        <v>306</v>
      </c>
      <c r="S43" s="15" t="s">
        <v>307</v>
      </c>
    </row>
    <row r="44" customFormat="false" ht="30" hidden="false" customHeight="true" outlineLevel="0" collapsed="false">
      <c r="A44" s="12" t="n">
        <v>43</v>
      </c>
      <c r="B44" s="7" t="s">
        <v>219</v>
      </c>
      <c r="C44" s="7" t="s">
        <v>308</v>
      </c>
      <c r="D44" s="7" t="s">
        <v>309</v>
      </c>
      <c r="E44" s="7" t="s">
        <v>310</v>
      </c>
      <c r="F44" s="7" t="s">
        <v>21</v>
      </c>
      <c r="G44" s="12" t="n">
        <v>2</v>
      </c>
      <c r="H44" s="7" t="s">
        <v>24</v>
      </c>
      <c r="I44" s="12" t="n">
        <v>5</v>
      </c>
      <c r="J44" s="7" t="s">
        <v>33</v>
      </c>
      <c r="K44" s="12" t="n">
        <v>3</v>
      </c>
      <c r="L44" s="7" t="s">
        <v>38</v>
      </c>
      <c r="M44" s="12" t="n">
        <v>4</v>
      </c>
      <c r="N44" s="7" t="s">
        <v>45</v>
      </c>
      <c r="O44" s="12" t="n">
        <v>4</v>
      </c>
      <c r="P44" s="13" t="n">
        <f aca="false">ROUND(G44*0.25+I44*0.25+K44*0.15+M44*0.15+O44*0.2,2)</f>
        <v>3.6</v>
      </c>
      <c r="Q44" s="12" t="str">
        <f aca="false">IF(P44&gt;=4,"P1 立即启动",IF(P44&gt;=3.6,"P2 半年内推进",IF(P44&gt;=3.2,"P3 储备观察","P4 暂缓")))</f>
        <v>P2 半年内推进</v>
      </c>
      <c r="R44" s="7" t="s">
        <v>311</v>
      </c>
      <c r="S44" s="7" t="s">
        <v>312</v>
      </c>
    </row>
    <row r="45" customFormat="false" ht="30" hidden="false" customHeight="true" outlineLevel="0" collapsed="false">
      <c r="A45" s="14" t="n">
        <v>44</v>
      </c>
      <c r="B45" s="15" t="s">
        <v>225</v>
      </c>
      <c r="C45" s="15" t="s">
        <v>313</v>
      </c>
      <c r="D45" s="15" t="s">
        <v>314</v>
      </c>
      <c r="E45" s="15" t="s">
        <v>315</v>
      </c>
      <c r="F45" s="15" t="s">
        <v>20</v>
      </c>
      <c r="G45" s="14" t="n">
        <v>3</v>
      </c>
      <c r="H45" s="15" t="s">
        <v>25</v>
      </c>
      <c r="I45" s="14" t="n">
        <v>4</v>
      </c>
      <c r="J45" s="15" t="s">
        <v>33</v>
      </c>
      <c r="K45" s="14" t="n">
        <v>3</v>
      </c>
      <c r="L45" s="15" t="s">
        <v>38</v>
      </c>
      <c r="M45" s="14" t="n">
        <v>4</v>
      </c>
      <c r="N45" s="15" t="s">
        <v>45</v>
      </c>
      <c r="O45" s="14" t="n">
        <v>4</v>
      </c>
      <c r="P45" s="16" t="n">
        <f aca="false">ROUND(G45*0.25+I45*0.25+K45*0.15+M45*0.15+O45*0.2,2)</f>
        <v>3.6</v>
      </c>
      <c r="Q45" s="14" t="str">
        <f aca="false">IF(P45&gt;=4,"P1 立即启动",IF(P45&gt;=3.6,"P2 半年内推进",IF(P45&gt;=3.2,"P3 储备观察","P4 暂缓")))</f>
        <v>P2 半年内推进</v>
      </c>
      <c r="R45" s="15" t="s">
        <v>316</v>
      </c>
      <c r="S45" s="15" t="s">
        <v>317</v>
      </c>
    </row>
    <row r="46" customFormat="false" ht="30" hidden="false" customHeight="true" outlineLevel="0" collapsed="false">
      <c r="A46" s="12" t="n">
        <v>45</v>
      </c>
      <c r="B46" s="7" t="s">
        <v>105</v>
      </c>
      <c r="C46" s="7" t="s">
        <v>318</v>
      </c>
      <c r="D46" s="7" t="s">
        <v>319</v>
      </c>
      <c r="E46" s="7" t="s">
        <v>320</v>
      </c>
      <c r="F46" s="7" t="s">
        <v>19</v>
      </c>
      <c r="G46" s="12" t="n">
        <v>4</v>
      </c>
      <c r="H46" s="7" t="s">
        <v>24</v>
      </c>
      <c r="I46" s="12" t="n">
        <v>5</v>
      </c>
      <c r="J46" s="7" t="s">
        <v>34</v>
      </c>
      <c r="K46" s="12" t="n">
        <v>2</v>
      </c>
      <c r="L46" s="7" t="s">
        <v>39</v>
      </c>
      <c r="M46" s="12" t="n">
        <v>3</v>
      </c>
      <c r="N46" s="7" t="s">
        <v>46</v>
      </c>
      <c r="O46" s="12" t="n">
        <v>3</v>
      </c>
      <c r="P46" s="13" t="n">
        <f aca="false">ROUND(G46*0.25+I46*0.25+K46*0.15+M46*0.15+O46*0.2,2)</f>
        <v>3.6</v>
      </c>
      <c r="Q46" s="12" t="str">
        <f aca="false">IF(P46&gt;=4,"P1 立即启动",IF(P46&gt;=3.6,"P2 半年内推进",IF(P46&gt;=3.2,"P3 储备观察","P4 暂缓")))</f>
        <v>P2 半年内推进</v>
      </c>
      <c r="R46" s="7" t="s">
        <v>321</v>
      </c>
      <c r="S46" s="7" t="s">
        <v>322</v>
      </c>
    </row>
    <row r="47" customFormat="false" ht="30" hidden="false" customHeight="true" outlineLevel="0" collapsed="false">
      <c r="A47" s="14" t="n">
        <v>46</v>
      </c>
      <c r="B47" s="15" t="s">
        <v>219</v>
      </c>
      <c r="C47" s="15" t="s">
        <v>323</v>
      </c>
      <c r="D47" s="15" t="s">
        <v>324</v>
      </c>
      <c r="E47" s="15" t="s">
        <v>325</v>
      </c>
      <c r="F47" s="15" t="s">
        <v>19</v>
      </c>
      <c r="G47" s="14" t="n">
        <v>4</v>
      </c>
      <c r="H47" s="15" t="s">
        <v>24</v>
      </c>
      <c r="I47" s="14" t="n">
        <v>5</v>
      </c>
      <c r="J47" s="15" t="s">
        <v>34</v>
      </c>
      <c r="K47" s="14" t="n">
        <v>2</v>
      </c>
      <c r="L47" s="15" t="s">
        <v>39</v>
      </c>
      <c r="M47" s="14" t="n">
        <v>3</v>
      </c>
      <c r="N47" s="15" t="s">
        <v>46</v>
      </c>
      <c r="O47" s="14" t="n">
        <v>3</v>
      </c>
      <c r="P47" s="16" t="n">
        <f aca="false">ROUND(G47*0.25+I47*0.25+K47*0.15+M47*0.15+O47*0.2,2)</f>
        <v>3.6</v>
      </c>
      <c r="Q47" s="14" t="str">
        <f aca="false">IF(P47&gt;=4,"P1 立即启动",IF(P47&gt;=3.6,"P2 半年内推进",IF(P47&gt;=3.2,"P3 储备观察","P4 暂缓")))</f>
        <v>P2 半年内推进</v>
      </c>
      <c r="R47" s="15" t="s">
        <v>326</v>
      </c>
      <c r="S47" s="15" t="s">
        <v>327</v>
      </c>
    </row>
    <row r="48" customFormat="false" ht="30" hidden="false" customHeight="true" outlineLevel="0" collapsed="false">
      <c r="A48" s="12" t="n">
        <v>47</v>
      </c>
      <c r="B48" s="7" t="s">
        <v>105</v>
      </c>
      <c r="C48" s="7" t="s">
        <v>328</v>
      </c>
      <c r="D48" s="7" t="s">
        <v>329</v>
      </c>
      <c r="E48" s="7" t="s">
        <v>330</v>
      </c>
      <c r="F48" s="7" t="s">
        <v>19</v>
      </c>
      <c r="G48" s="12" t="n">
        <v>4</v>
      </c>
      <c r="H48" s="7" t="s">
        <v>25</v>
      </c>
      <c r="I48" s="12" t="n">
        <v>4</v>
      </c>
      <c r="J48" s="7" t="s">
        <v>33</v>
      </c>
      <c r="K48" s="12" t="n">
        <v>3</v>
      </c>
      <c r="L48" s="7" t="s">
        <v>40</v>
      </c>
      <c r="M48" s="12" t="n">
        <v>2</v>
      </c>
      <c r="N48" s="7" t="s">
        <v>45</v>
      </c>
      <c r="O48" s="12" t="n">
        <v>4</v>
      </c>
      <c r="P48" s="13" t="n">
        <f aca="false">ROUND(G48*0.25+I48*0.25+K48*0.15+M48*0.15+O48*0.2,2)</f>
        <v>3.55</v>
      </c>
      <c r="Q48" s="12" t="str">
        <f aca="false">IF(P48&gt;=4,"P1 立即启动",IF(P48&gt;=3.6,"P2 半年内推进",IF(P48&gt;=3.2,"P3 储备观察","P4 暂缓")))</f>
        <v>P3 储备观察</v>
      </c>
      <c r="R48" s="7" t="s">
        <v>331</v>
      </c>
      <c r="S48" s="7" t="s">
        <v>332</v>
      </c>
    </row>
    <row r="49" customFormat="false" ht="30" hidden="false" customHeight="true" outlineLevel="0" collapsed="false">
      <c r="A49" s="14" t="n">
        <v>48</v>
      </c>
      <c r="B49" s="15" t="s">
        <v>333</v>
      </c>
      <c r="C49" s="15" t="s">
        <v>334</v>
      </c>
      <c r="D49" s="15" t="s">
        <v>335</v>
      </c>
      <c r="E49" s="15" t="s">
        <v>336</v>
      </c>
      <c r="F49" s="15" t="s">
        <v>20</v>
      </c>
      <c r="G49" s="14" t="n">
        <v>3</v>
      </c>
      <c r="H49" s="15" t="s">
        <v>24</v>
      </c>
      <c r="I49" s="14" t="n">
        <v>5</v>
      </c>
      <c r="J49" s="15" t="s">
        <v>34</v>
      </c>
      <c r="K49" s="14" t="n">
        <v>2</v>
      </c>
      <c r="L49" s="15" t="s">
        <v>39</v>
      </c>
      <c r="M49" s="14" t="n">
        <v>3</v>
      </c>
      <c r="N49" s="15" t="s">
        <v>45</v>
      </c>
      <c r="O49" s="14" t="n">
        <v>4</v>
      </c>
      <c r="P49" s="16" t="n">
        <f aca="false">ROUND(G49*0.25+I49*0.25+K49*0.15+M49*0.15+O49*0.2,2)</f>
        <v>3.55</v>
      </c>
      <c r="Q49" s="14" t="str">
        <f aca="false">IF(P49&gt;=4,"P1 立即启动",IF(P49&gt;=3.6,"P2 半年内推进",IF(P49&gt;=3.2,"P3 储备观察","P4 暂缓")))</f>
        <v>P3 储备观察</v>
      </c>
      <c r="R49" s="15" t="s">
        <v>337</v>
      </c>
      <c r="S49" s="15" t="s">
        <v>338</v>
      </c>
    </row>
    <row r="50" customFormat="false" ht="30" hidden="false" customHeight="true" outlineLevel="0" collapsed="false">
      <c r="A50" s="12" t="n">
        <v>49</v>
      </c>
      <c r="B50" s="7" t="s">
        <v>333</v>
      </c>
      <c r="C50" s="7" t="s">
        <v>339</v>
      </c>
      <c r="D50" s="7" t="s">
        <v>340</v>
      </c>
      <c r="E50" s="7" t="s">
        <v>341</v>
      </c>
      <c r="F50" s="7" t="s">
        <v>20</v>
      </c>
      <c r="G50" s="12" t="n">
        <v>3</v>
      </c>
      <c r="H50" s="7" t="s">
        <v>24</v>
      </c>
      <c r="I50" s="12" t="n">
        <v>5</v>
      </c>
      <c r="J50" s="7" t="s">
        <v>34</v>
      </c>
      <c r="K50" s="12" t="n">
        <v>2</v>
      </c>
      <c r="L50" s="7" t="s">
        <v>39</v>
      </c>
      <c r="M50" s="12" t="n">
        <v>3</v>
      </c>
      <c r="N50" s="7" t="s">
        <v>45</v>
      </c>
      <c r="O50" s="12" t="n">
        <v>4</v>
      </c>
      <c r="P50" s="13" t="n">
        <f aca="false">ROUND(G50*0.25+I50*0.25+K50*0.15+M50*0.15+O50*0.2,2)</f>
        <v>3.55</v>
      </c>
      <c r="Q50" s="12" t="str">
        <f aca="false">IF(P50&gt;=4,"P1 立即启动",IF(P50&gt;=3.6,"P2 半年内推进",IF(P50&gt;=3.2,"P3 储备观察","P4 暂缓")))</f>
        <v>P3 储备观察</v>
      </c>
      <c r="R50" s="7" t="s">
        <v>342</v>
      </c>
      <c r="S50" s="7" t="s">
        <v>343</v>
      </c>
    </row>
    <row r="51" customFormat="false" ht="30" hidden="false" customHeight="true" outlineLevel="0" collapsed="false">
      <c r="A51" s="14" t="n">
        <v>50</v>
      </c>
      <c r="B51" s="15" t="s">
        <v>163</v>
      </c>
      <c r="C51" s="15" t="s">
        <v>344</v>
      </c>
      <c r="D51" s="15" t="s">
        <v>345</v>
      </c>
      <c r="E51" s="15" t="s">
        <v>346</v>
      </c>
      <c r="F51" s="15" t="s">
        <v>19</v>
      </c>
      <c r="G51" s="14" t="n">
        <v>4</v>
      </c>
      <c r="H51" s="15" t="s">
        <v>25</v>
      </c>
      <c r="I51" s="14" t="n">
        <v>4</v>
      </c>
      <c r="J51" s="15" t="s">
        <v>34</v>
      </c>
      <c r="K51" s="14" t="n">
        <v>2</v>
      </c>
      <c r="L51" s="15" t="s">
        <v>39</v>
      </c>
      <c r="M51" s="14" t="n">
        <v>3</v>
      </c>
      <c r="N51" s="15" t="s">
        <v>45</v>
      </c>
      <c r="O51" s="14" t="n">
        <v>4</v>
      </c>
      <c r="P51" s="16" t="n">
        <f aca="false">ROUND(G51*0.25+I51*0.25+K51*0.15+M51*0.15+O51*0.2,2)</f>
        <v>3.55</v>
      </c>
      <c r="Q51" s="14" t="str">
        <f aca="false">IF(P51&gt;=4,"P1 立即启动",IF(P51&gt;=3.6,"P2 半年内推进",IF(P51&gt;=3.2,"P3 储备观察","P4 暂缓")))</f>
        <v>P3 储备观察</v>
      </c>
      <c r="R51" s="15" t="s">
        <v>347</v>
      </c>
      <c r="S51" s="15" t="s">
        <v>348</v>
      </c>
    </row>
    <row r="52" customFormat="false" ht="30" hidden="false" customHeight="true" outlineLevel="0" collapsed="false">
      <c r="A52" s="12" t="n">
        <v>51</v>
      </c>
      <c r="B52" s="7" t="s">
        <v>163</v>
      </c>
      <c r="C52" s="7" t="s">
        <v>349</v>
      </c>
      <c r="D52" s="7" t="s">
        <v>350</v>
      </c>
      <c r="E52" s="7" t="s">
        <v>351</v>
      </c>
      <c r="F52" s="7" t="s">
        <v>21</v>
      </c>
      <c r="G52" s="12" t="n">
        <v>2</v>
      </c>
      <c r="H52" s="7" t="s">
        <v>25</v>
      </c>
      <c r="I52" s="12" t="n">
        <v>4</v>
      </c>
      <c r="J52" s="7" t="s">
        <v>33</v>
      </c>
      <c r="K52" s="12" t="n">
        <v>3</v>
      </c>
      <c r="L52" s="7" t="s">
        <v>38</v>
      </c>
      <c r="M52" s="12" t="n">
        <v>4</v>
      </c>
      <c r="N52" s="7" t="s">
        <v>44</v>
      </c>
      <c r="O52" s="12" t="n">
        <v>5</v>
      </c>
      <c r="P52" s="13" t="n">
        <f aca="false">ROUND(G52*0.25+I52*0.25+K52*0.15+M52*0.15+O52*0.2,2)</f>
        <v>3.55</v>
      </c>
      <c r="Q52" s="12" t="str">
        <f aca="false">IF(P52&gt;=4,"P1 立即启动",IF(P52&gt;=3.6,"P2 半年内推进",IF(P52&gt;=3.2,"P3 储备观察","P4 暂缓")))</f>
        <v>P3 储备观察</v>
      </c>
      <c r="R52" s="7" t="s">
        <v>352</v>
      </c>
      <c r="S52" s="7" t="s">
        <v>353</v>
      </c>
    </row>
    <row r="53" customFormat="false" ht="30" hidden="false" customHeight="true" outlineLevel="0" collapsed="false">
      <c r="A53" s="14" t="n">
        <v>52</v>
      </c>
      <c r="B53" s="15" t="s">
        <v>354</v>
      </c>
      <c r="C53" s="15" t="s">
        <v>355</v>
      </c>
      <c r="D53" s="15" t="s">
        <v>356</v>
      </c>
      <c r="E53" s="15" t="s">
        <v>357</v>
      </c>
      <c r="F53" s="15" t="s">
        <v>20</v>
      </c>
      <c r="G53" s="14" t="n">
        <v>3</v>
      </c>
      <c r="H53" s="15" t="s">
        <v>24</v>
      </c>
      <c r="I53" s="14" t="n">
        <v>5</v>
      </c>
      <c r="J53" s="15" t="s">
        <v>34</v>
      </c>
      <c r="K53" s="14" t="n">
        <v>2</v>
      </c>
      <c r="L53" s="15" t="s">
        <v>39</v>
      </c>
      <c r="M53" s="14" t="n">
        <v>3</v>
      </c>
      <c r="N53" s="15" t="s">
        <v>45</v>
      </c>
      <c r="O53" s="14" t="n">
        <v>4</v>
      </c>
      <c r="P53" s="16" t="n">
        <f aca="false">ROUND(G53*0.25+I53*0.25+K53*0.15+M53*0.15+O53*0.2,2)</f>
        <v>3.55</v>
      </c>
      <c r="Q53" s="14" t="str">
        <f aca="false">IF(P53&gt;=4,"P1 立即启动",IF(P53&gt;=3.6,"P2 半年内推进",IF(P53&gt;=3.2,"P3 储备观察","P4 暂缓")))</f>
        <v>P3 储备观察</v>
      </c>
      <c r="R53" s="15" t="s">
        <v>358</v>
      </c>
      <c r="S53" s="15" t="s">
        <v>359</v>
      </c>
    </row>
    <row r="54" customFormat="false" ht="30" hidden="false" customHeight="true" outlineLevel="0" collapsed="false">
      <c r="A54" s="12" t="n">
        <v>53</v>
      </c>
      <c r="B54" s="7" t="s">
        <v>256</v>
      </c>
      <c r="C54" s="7" t="s">
        <v>360</v>
      </c>
      <c r="D54" s="7" t="s">
        <v>361</v>
      </c>
      <c r="E54" s="7" t="s">
        <v>362</v>
      </c>
      <c r="F54" s="7" t="s">
        <v>20</v>
      </c>
      <c r="G54" s="12" t="n">
        <v>3</v>
      </c>
      <c r="H54" s="7" t="s">
        <v>24</v>
      </c>
      <c r="I54" s="12" t="n">
        <v>5</v>
      </c>
      <c r="J54" s="7" t="s">
        <v>34</v>
      </c>
      <c r="K54" s="12" t="n">
        <v>2</v>
      </c>
      <c r="L54" s="7" t="s">
        <v>39</v>
      </c>
      <c r="M54" s="12" t="n">
        <v>3</v>
      </c>
      <c r="N54" s="7" t="s">
        <v>45</v>
      </c>
      <c r="O54" s="12" t="n">
        <v>4</v>
      </c>
      <c r="P54" s="13" t="n">
        <f aca="false">ROUND(G54*0.25+I54*0.25+K54*0.15+M54*0.15+O54*0.2,2)</f>
        <v>3.55</v>
      </c>
      <c r="Q54" s="12" t="str">
        <f aca="false">IF(P54&gt;=4,"P1 立即启动",IF(P54&gt;=3.6,"P2 半年内推进",IF(P54&gt;=3.2,"P3 储备观察","P4 暂缓")))</f>
        <v>P3 储备观察</v>
      </c>
      <c r="R54" s="7" t="s">
        <v>363</v>
      </c>
      <c r="S54" s="7" t="s">
        <v>364</v>
      </c>
    </row>
    <row r="55" customFormat="false" ht="30" hidden="false" customHeight="true" outlineLevel="0" collapsed="false">
      <c r="A55" s="14" t="n">
        <v>54</v>
      </c>
      <c r="B55" s="15" t="s">
        <v>365</v>
      </c>
      <c r="C55" s="15" t="s">
        <v>366</v>
      </c>
      <c r="D55" s="15" t="s">
        <v>367</v>
      </c>
      <c r="E55" s="15" t="s">
        <v>368</v>
      </c>
      <c r="F55" s="15" t="s">
        <v>19</v>
      </c>
      <c r="G55" s="14" t="n">
        <v>4</v>
      </c>
      <c r="H55" s="15" t="s">
        <v>24</v>
      </c>
      <c r="I55" s="14" t="n">
        <v>5</v>
      </c>
      <c r="J55" s="15" t="s">
        <v>34</v>
      </c>
      <c r="K55" s="14" t="n">
        <v>2</v>
      </c>
      <c r="L55" s="15" t="s">
        <v>38</v>
      </c>
      <c r="M55" s="14" t="n">
        <v>4</v>
      </c>
      <c r="N55" s="15" t="s">
        <v>47</v>
      </c>
      <c r="O55" s="14" t="n">
        <v>2</v>
      </c>
      <c r="P55" s="16" t="n">
        <f aca="false">ROUND(G55*0.25+I55*0.25+K55*0.15+M55*0.15+O55*0.2,2)</f>
        <v>3.55</v>
      </c>
      <c r="Q55" s="14" t="str">
        <f aca="false">IF(P55&gt;=4,"P1 立即启动",IF(P55&gt;=3.6,"P2 半年内推进",IF(P55&gt;=3.2,"P3 储备观察","P4 暂缓")))</f>
        <v>P3 储备观察</v>
      </c>
      <c r="R55" s="15" t="s">
        <v>369</v>
      </c>
      <c r="S55" s="15" t="s">
        <v>370</v>
      </c>
    </row>
    <row r="56" customFormat="false" ht="30" hidden="false" customHeight="true" outlineLevel="0" collapsed="false">
      <c r="A56" s="12" t="n">
        <v>55</v>
      </c>
      <c r="B56" s="7" t="s">
        <v>272</v>
      </c>
      <c r="C56" s="7" t="s">
        <v>371</v>
      </c>
      <c r="D56" s="7" t="s">
        <v>372</v>
      </c>
      <c r="E56" s="7" t="s">
        <v>373</v>
      </c>
      <c r="F56" s="7" t="s">
        <v>20</v>
      </c>
      <c r="G56" s="12" t="n">
        <v>3</v>
      </c>
      <c r="H56" s="7" t="s">
        <v>24</v>
      </c>
      <c r="I56" s="12" t="n">
        <v>5</v>
      </c>
      <c r="J56" s="7" t="s">
        <v>34</v>
      </c>
      <c r="K56" s="12" t="n">
        <v>2</v>
      </c>
      <c r="L56" s="7" t="s">
        <v>39</v>
      </c>
      <c r="M56" s="12" t="n">
        <v>3</v>
      </c>
      <c r="N56" s="7" t="s">
        <v>45</v>
      </c>
      <c r="O56" s="12" t="n">
        <v>4</v>
      </c>
      <c r="P56" s="13" t="n">
        <f aca="false">ROUND(G56*0.25+I56*0.25+K56*0.15+M56*0.15+O56*0.2,2)</f>
        <v>3.55</v>
      </c>
      <c r="Q56" s="12" t="str">
        <f aca="false">IF(P56&gt;=4,"P1 立即启动",IF(P56&gt;=3.6,"P2 半年内推进",IF(P56&gt;=3.2,"P3 储备观察","P4 暂缓")))</f>
        <v>P3 储备观察</v>
      </c>
      <c r="R56" s="7" t="s">
        <v>374</v>
      </c>
      <c r="S56" s="7" t="s">
        <v>375</v>
      </c>
    </row>
    <row r="57" customFormat="false" ht="30" hidden="false" customHeight="true" outlineLevel="0" collapsed="false">
      <c r="A57" s="14" t="n">
        <v>56</v>
      </c>
      <c r="B57" s="15" t="s">
        <v>169</v>
      </c>
      <c r="C57" s="15" t="s">
        <v>376</v>
      </c>
      <c r="D57" s="15" t="s">
        <v>377</v>
      </c>
      <c r="E57" s="15" t="s">
        <v>378</v>
      </c>
      <c r="F57" s="15" t="s">
        <v>20</v>
      </c>
      <c r="G57" s="14" t="n">
        <v>3</v>
      </c>
      <c r="H57" s="15" t="s">
        <v>24</v>
      </c>
      <c r="I57" s="14" t="n">
        <v>5</v>
      </c>
      <c r="J57" s="15" t="s">
        <v>33</v>
      </c>
      <c r="K57" s="14" t="n">
        <v>3</v>
      </c>
      <c r="L57" s="15" t="s">
        <v>39</v>
      </c>
      <c r="M57" s="14" t="n">
        <v>3</v>
      </c>
      <c r="N57" s="15" t="s">
        <v>46</v>
      </c>
      <c r="O57" s="14" t="n">
        <v>3</v>
      </c>
      <c r="P57" s="16" t="n">
        <f aca="false">ROUND(G57*0.25+I57*0.25+K57*0.15+M57*0.15+O57*0.2,2)</f>
        <v>3.5</v>
      </c>
      <c r="Q57" s="14" t="str">
        <f aca="false">IF(P57&gt;=4,"P1 立即启动",IF(P57&gt;=3.6,"P2 半年内推进",IF(P57&gt;=3.2,"P3 储备观察","P4 暂缓")))</f>
        <v>P3 储备观察</v>
      </c>
      <c r="R57" s="15" t="s">
        <v>379</v>
      </c>
      <c r="S57" s="15" t="s">
        <v>380</v>
      </c>
    </row>
    <row r="58" customFormat="false" ht="30" hidden="false" customHeight="true" outlineLevel="0" collapsed="false">
      <c r="A58" s="12" t="n">
        <v>57</v>
      </c>
      <c r="B58" s="7" t="s">
        <v>100</v>
      </c>
      <c r="C58" s="7" t="s">
        <v>381</v>
      </c>
      <c r="D58" s="7" t="s">
        <v>382</v>
      </c>
      <c r="E58" s="7" t="s">
        <v>383</v>
      </c>
      <c r="F58" s="7" t="s">
        <v>19</v>
      </c>
      <c r="G58" s="12" t="n">
        <v>4</v>
      </c>
      <c r="H58" s="7" t="s">
        <v>25</v>
      </c>
      <c r="I58" s="12" t="n">
        <v>4</v>
      </c>
      <c r="J58" s="7" t="s">
        <v>33</v>
      </c>
      <c r="K58" s="12" t="n">
        <v>3</v>
      </c>
      <c r="L58" s="7" t="s">
        <v>39</v>
      </c>
      <c r="M58" s="12" t="n">
        <v>3</v>
      </c>
      <c r="N58" s="7" t="s">
        <v>46</v>
      </c>
      <c r="O58" s="12" t="n">
        <v>3</v>
      </c>
      <c r="P58" s="13" t="n">
        <f aca="false">ROUND(G58*0.25+I58*0.25+K58*0.15+M58*0.15+O58*0.2,2)</f>
        <v>3.5</v>
      </c>
      <c r="Q58" s="12" t="str">
        <f aca="false">IF(P58&gt;=4,"P1 立即启动",IF(P58&gt;=3.6,"P2 半年内推进",IF(P58&gt;=3.2,"P3 储备观察","P4 暂缓")))</f>
        <v>P3 储备观察</v>
      </c>
      <c r="R58" s="7" t="s">
        <v>384</v>
      </c>
      <c r="S58" s="7" t="s">
        <v>385</v>
      </c>
    </row>
    <row r="59" customFormat="false" ht="30" hidden="false" customHeight="true" outlineLevel="0" collapsed="false">
      <c r="A59" s="14" t="n">
        <v>58</v>
      </c>
      <c r="B59" s="15" t="s">
        <v>386</v>
      </c>
      <c r="C59" s="15" t="s">
        <v>387</v>
      </c>
      <c r="D59" s="15" t="s">
        <v>388</v>
      </c>
      <c r="E59" s="15" t="s">
        <v>389</v>
      </c>
      <c r="F59" s="15" t="s">
        <v>19</v>
      </c>
      <c r="G59" s="14" t="n">
        <v>4</v>
      </c>
      <c r="H59" s="15" t="s">
        <v>25</v>
      </c>
      <c r="I59" s="14" t="n">
        <v>4</v>
      </c>
      <c r="J59" s="15" t="s">
        <v>33</v>
      </c>
      <c r="K59" s="14" t="n">
        <v>3</v>
      </c>
      <c r="L59" s="15" t="s">
        <v>39</v>
      </c>
      <c r="M59" s="14" t="n">
        <v>3</v>
      </c>
      <c r="N59" s="15" t="s">
        <v>46</v>
      </c>
      <c r="O59" s="14" t="n">
        <v>3</v>
      </c>
      <c r="P59" s="16" t="n">
        <f aca="false">ROUND(G59*0.25+I59*0.25+K59*0.15+M59*0.15+O59*0.2,2)</f>
        <v>3.5</v>
      </c>
      <c r="Q59" s="14" t="str">
        <f aca="false">IF(P59&gt;=4,"P1 立即启动",IF(P59&gt;=3.6,"P2 半年内推进",IF(P59&gt;=3.2,"P3 储备观察","P4 暂缓")))</f>
        <v>P3 储备观察</v>
      </c>
      <c r="R59" s="15" t="s">
        <v>390</v>
      </c>
      <c r="S59" s="15" t="s">
        <v>391</v>
      </c>
    </row>
    <row r="60" customFormat="false" ht="30" hidden="false" customHeight="true" outlineLevel="0" collapsed="false">
      <c r="A60" s="12" t="n">
        <v>59</v>
      </c>
      <c r="B60" s="7" t="s">
        <v>132</v>
      </c>
      <c r="C60" s="7" t="s">
        <v>392</v>
      </c>
      <c r="D60" s="7" t="s">
        <v>393</v>
      </c>
      <c r="E60" s="7" t="s">
        <v>394</v>
      </c>
      <c r="F60" s="7" t="s">
        <v>18</v>
      </c>
      <c r="G60" s="12" t="n">
        <v>5</v>
      </c>
      <c r="H60" s="7" t="s">
        <v>26</v>
      </c>
      <c r="I60" s="12" t="n">
        <v>3</v>
      </c>
      <c r="J60" s="7" t="s">
        <v>33</v>
      </c>
      <c r="K60" s="12" t="n">
        <v>3</v>
      </c>
      <c r="L60" s="7" t="s">
        <v>39</v>
      </c>
      <c r="M60" s="12" t="n">
        <v>3</v>
      </c>
      <c r="N60" s="7" t="s">
        <v>46</v>
      </c>
      <c r="O60" s="12" t="n">
        <v>3</v>
      </c>
      <c r="P60" s="13" t="n">
        <f aca="false">ROUND(G60*0.25+I60*0.25+K60*0.15+M60*0.15+O60*0.2,2)</f>
        <v>3.5</v>
      </c>
      <c r="Q60" s="12" t="str">
        <f aca="false">IF(P60&gt;=4,"P1 立即启动",IF(P60&gt;=3.6,"P2 半年内推进",IF(P60&gt;=3.2,"P3 储备观察","P4 暂缓")))</f>
        <v>P3 储备观察</v>
      </c>
      <c r="R60" s="7" t="s">
        <v>395</v>
      </c>
      <c r="S60" s="7" t="s">
        <v>396</v>
      </c>
    </row>
    <row r="61" customFormat="false" ht="30" hidden="false" customHeight="true" outlineLevel="0" collapsed="false">
      <c r="A61" s="14" t="n">
        <v>60</v>
      </c>
      <c r="B61" s="15" t="s">
        <v>354</v>
      </c>
      <c r="C61" s="15" t="s">
        <v>397</v>
      </c>
      <c r="D61" s="15" t="s">
        <v>398</v>
      </c>
      <c r="E61" s="15" t="s">
        <v>399</v>
      </c>
      <c r="F61" s="15" t="s">
        <v>20</v>
      </c>
      <c r="G61" s="14" t="n">
        <v>3</v>
      </c>
      <c r="H61" s="15" t="s">
        <v>24</v>
      </c>
      <c r="I61" s="14" t="n">
        <v>5</v>
      </c>
      <c r="J61" s="15" t="s">
        <v>34</v>
      </c>
      <c r="K61" s="14" t="n">
        <v>2</v>
      </c>
      <c r="L61" s="15" t="s">
        <v>38</v>
      </c>
      <c r="M61" s="14" t="n">
        <v>4</v>
      </c>
      <c r="N61" s="15" t="s">
        <v>46</v>
      </c>
      <c r="O61" s="14" t="n">
        <v>3</v>
      </c>
      <c r="P61" s="16" t="n">
        <f aca="false">ROUND(G61*0.25+I61*0.25+K61*0.15+M61*0.15+O61*0.2,2)</f>
        <v>3.5</v>
      </c>
      <c r="Q61" s="14" t="str">
        <f aca="false">IF(P61&gt;=4,"P1 立即启动",IF(P61&gt;=3.6,"P2 半年内推进",IF(P61&gt;=3.2,"P3 储备观察","P4 暂缓")))</f>
        <v>P3 储备观察</v>
      </c>
      <c r="R61" s="15" t="s">
        <v>400</v>
      </c>
      <c r="S61" s="17" t="s">
        <v>401</v>
      </c>
    </row>
    <row r="62" customFormat="false" ht="30" hidden="false" customHeight="true" outlineLevel="0" collapsed="false">
      <c r="A62" s="12" t="n">
        <v>61</v>
      </c>
      <c r="B62" s="7" t="s">
        <v>126</v>
      </c>
      <c r="C62" s="7" t="s">
        <v>262</v>
      </c>
      <c r="D62" s="7" t="s">
        <v>402</v>
      </c>
      <c r="E62" s="7" t="s">
        <v>403</v>
      </c>
      <c r="F62" s="7" t="s">
        <v>19</v>
      </c>
      <c r="G62" s="12" t="n">
        <v>4</v>
      </c>
      <c r="H62" s="7" t="s">
        <v>25</v>
      </c>
      <c r="I62" s="12" t="n">
        <v>4</v>
      </c>
      <c r="J62" s="7" t="s">
        <v>34</v>
      </c>
      <c r="K62" s="12" t="n">
        <v>2</v>
      </c>
      <c r="L62" s="7" t="s">
        <v>38</v>
      </c>
      <c r="M62" s="12" t="n">
        <v>4</v>
      </c>
      <c r="N62" s="7" t="s">
        <v>46</v>
      </c>
      <c r="O62" s="12" t="n">
        <v>3</v>
      </c>
      <c r="P62" s="13" t="n">
        <f aca="false">ROUND(G62*0.25+I62*0.25+K62*0.15+M62*0.15+O62*0.2,2)</f>
        <v>3.5</v>
      </c>
      <c r="Q62" s="12" t="str">
        <f aca="false">IF(P62&gt;=4,"P1 立即启动",IF(P62&gt;=3.6,"P2 半年内推进",IF(P62&gt;=3.2,"P3 储备观察","P4 暂缓")))</f>
        <v>P3 储备观察</v>
      </c>
      <c r="R62" s="7" t="s">
        <v>404</v>
      </c>
      <c r="S62" s="7" t="s">
        <v>405</v>
      </c>
    </row>
    <row r="63" customFormat="false" ht="30" hidden="false" customHeight="true" outlineLevel="0" collapsed="false">
      <c r="A63" s="14" t="n">
        <v>62</v>
      </c>
      <c r="B63" s="15" t="s">
        <v>365</v>
      </c>
      <c r="C63" s="15" t="s">
        <v>406</v>
      </c>
      <c r="D63" s="15" t="s">
        <v>407</v>
      </c>
      <c r="E63" s="15" t="s">
        <v>408</v>
      </c>
      <c r="F63" s="15" t="s">
        <v>20</v>
      </c>
      <c r="G63" s="14" t="n">
        <v>3</v>
      </c>
      <c r="H63" s="15" t="s">
        <v>24</v>
      </c>
      <c r="I63" s="14" t="n">
        <v>5</v>
      </c>
      <c r="J63" s="15" t="s">
        <v>34</v>
      </c>
      <c r="K63" s="14" t="n">
        <v>2</v>
      </c>
      <c r="L63" s="15" t="s">
        <v>38</v>
      </c>
      <c r="M63" s="14" t="n">
        <v>4</v>
      </c>
      <c r="N63" s="15" t="s">
        <v>46</v>
      </c>
      <c r="O63" s="14" t="n">
        <v>3</v>
      </c>
      <c r="P63" s="16" t="n">
        <f aca="false">ROUND(G63*0.25+I63*0.25+K63*0.15+M63*0.15+O63*0.2,2)</f>
        <v>3.5</v>
      </c>
      <c r="Q63" s="14" t="str">
        <f aca="false">IF(P63&gt;=4,"P1 立即启动",IF(P63&gt;=3.6,"P2 半年内推进",IF(P63&gt;=3.2,"P3 储备观察","P4 暂缓")))</f>
        <v>P3 储备观察</v>
      </c>
      <c r="R63" s="15" t="s">
        <v>409</v>
      </c>
      <c r="S63" s="15" t="s">
        <v>410</v>
      </c>
    </row>
    <row r="64" customFormat="false" ht="30" hidden="false" customHeight="true" outlineLevel="0" collapsed="false">
      <c r="A64" s="12" t="n">
        <v>63</v>
      </c>
      <c r="B64" s="7" t="s">
        <v>411</v>
      </c>
      <c r="C64" s="7" t="s">
        <v>412</v>
      </c>
      <c r="D64" s="7" t="s">
        <v>413</v>
      </c>
      <c r="E64" s="7" t="s">
        <v>414</v>
      </c>
      <c r="F64" s="7" t="s">
        <v>21</v>
      </c>
      <c r="G64" s="12" t="n">
        <v>2</v>
      </c>
      <c r="H64" s="7" t="s">
        <v>24</v>
      </c>
      <c r="I64" s="12" t="n">
        <v>5</v>
      </c>
      <c r="J64" s="7" t="s">
        <v>34</v>
      </c>
      <c r="K64" s="12" t="n">
        <v>2</v>
      </c>
      <c r="L64" s="7" t="s">
        <v>38</v>
      </c>
      <c r="M64" s="12" t="n">
        <v>4</v>
      </c>
      <c r="N64" s="7" t="s">
        <v>45</v>
      </c>
      <c r="O64" s="12" t="n">
        <v>4</v>
      </c>
      <c r="P64" s="13" t="n">
        <f aca="false">ROUND(G64*0.25+I64*0.25+K64*0.15+M64*0.15+O64*0.2,2)</f>
        <v>3.45</v>
      </c>
      <c r="Q64" s="12" t="str">
        <f aca="false">IF(P64&gt;=4,"P1 立即启动",IF(P64&gt;=3.6,"P2 半年内推进",IF(P64&gt;=3.2,"P3 储备观察","P4 暂缓")))</f>
        <v>P3 储备观察</v>
      </c>
      <c r="R64" s="7" t="s">
        <v>415</v>
      </c>
      <c r="S64" s="7" t="s">
        <v>416</v>
      </c>
    </row>
    <row r="65" customFormat="false" ht="30" hidden="false" customHeight="true" outlineLevel="0" collapsed="false">
      <c r="A65" s="14" t="n">
        <v>64</v>
      </c>
      <c r="B65" s="15" t="s">
        <v>94</v>
      </c>
      <c r="C65" s="15" t="s">
        <v>111</v>
      </c>
      <c r="D65" s="17" t="s">
        <v>417</v>
      </c>
      <c r="E65" s="15" t="s">
        <v>418</v>
      </c>
      <c r="F65" s="15" t="s">
        <v>21</v>
      </c>
      <c r="G65" s="14" t="n">
        <v>2</v>
      </c>
      <c r="H65" s="15" t="s">
        <v>24</v>
      </c>
      <c r="I65" s="14" t="n">
        <v>5</v>
      </c>
      <c r="J65" s="15" t="s">
        <v>33</v>
      </c>
      <c r="K65" s="14" t="n">
        <v>3</v>
      </c>
      <c r="L65" s="15" t="s">
        <v>39</v>
      </c>
      <c r="M65" s="14" t="n">
        <v>3</v>
      </c>
      <c r="N65" s="15" t="s">
        <v>45</v>
      </c>
      <c r="O65" s="14" t="n">
        <v>4</v>
      </c>
      <c r="P65" s="16" t="n">
        <f aca="false">ROUND(G65*0.25+I65*0.25+K65*0.15+M65*0.15+O65*0.2,2)</f>
        <v>3.45</v>
      </c>
      <c r="Q65" s="14" t="str">
        <f aca="false">IF(P65&gt;=4,"P1 立即启动",IF(P65&gt;=3.6,"P2 半年内推进",IF(P65&gt;=3.2,"P3 储备观察","P4 暂缓")))</f>
        <v>P3 储备观察</v>
      </c>
      <c r="R65" s="15" t="s">
        <v>419</v>
      </c>
      <c r="S65" s="15" t="s">
        <v>420</v>
      </c>
    </row>
    <row r="66" customFormat="false" ht="30" hidden="false" customHeight="true" outlineLevel="0" collapsed="false">
      <c r="A66" s="12" t="n">
        <v>65</v>
      </c>
      <c r="B66" s="7" t="s">
        <v>354</v>
      </c>
      <c r="C66" s="7" t="s">
        <v>421</v>
      </c>
      <c r="D66" s="7" t="s">
        <v>422</v>
      </c>
      <c r="E66" s="7" t="s">
        <v>423</v>
      </c>
      <c r="F66" s="7" t="s">
        <v>21</v>
      </c>
      <c r="G66" s="12" t="n">
        <v>2</v>
      </c>
      <c r="H66" s="7" t="s">
        <v>24</v>
      </c>
      <c r="I66" s="12" t="n">
        <v>5</v>
      </c>
      <c r="J66" s="7" t="s">
        <v>34</v>
      </c>
      <c r="K66" s="12" t="n">
        <v>2</v>
      </c>
      <c r="L66" s="7" t="s">
        <v>38</v>
      </c>
      <c r="M66" s="12" t="n">
        <v>4</v>
      </c>
      <c r="N66" s="7" t="s">
        <v>45</v>
      </c>
      <c r="O66" s="12" t="n">
        <v>4</v>
      </c>
      <c r="P66" s="13" t="n">
        <f aca="false">ROUND(G66*0.25+I66*0.25+K66*0.15+M66*0.15+O66*0.2,2)</f>
        <v>3.45</v>
      </c>
      <c r="Q66" s="12" t="str">
        <f aca="false">IF(P66&gt;=4,"P1 立即启动",IF(P66&gt;=3.6,"P2 半年内推进",IF(P66&gt;=3.2,"P3 储备观察","P4 暂缓")))</f>
        <v>P3 储备观察</v>
      </c>
      <c r="R66" s="7" t="s">
        <v>424</v>
      </c>
      <c r="S66" s="7" t="s">
        <v>425</v>
      </c>
    </row>
    <row r="67" customFormat="false" ht="30" hidden="false" customHeight="true" outlineLevel="0" collapsed="false">
      <c r="A67" s="14" t="n">
        <v>66</v>
      </c>
      <c r="B67" s="15" t="s">
        <v>426</v>
      </c>
      <c r="C67" s="15" t="s">
        <v>427</v>
      </c>
      <c r="D67" s="15" t="s">
        <v>428</v>
      </c>
      <c r="E67" s="15" t="s">
        <v>429</v>
      </c>
      <c r="F67" s="15" t="s">
        <v>20</v>
      </c>
      <c r="G67" s="14" t="n">
        <v>3</v>
      </c>
      <c r="H67" s="15" t="s">
        <v>25</v>
      </c>
      <c r="I67" s="14" t="n">
        <v>4</v>
      </c>
      <c r="J67" s="15" t="s">
        <v>34</v>
      </c>
      <c r="K67" s="14" t="n">
        <v>2</v>
      </c>
      <c r="L67" s="15" t="s">
        <v>38</v>
      </c>
      <c r="M67" s="14" t="n">
        <v>4</v>
      </c>
      <c r="N67" s="15" t="s">
        <v>45</v>
      </c>
      <c r="O67" s="14" t="n">
        <v>4</v>
      </c>
      <c r="P67" s="16" t="n">
        <f aca="false">ROUND(G67*0.25+I67*0.25+K67*0.15+M67*0.15+O67*0.2,2)</f>
        <v>3.45</v>
      </c>
      <c r="Q67" s="14" t="str">
        <f aca="false">IF(P67&gt;=4,"P1 立即启动",IF(P67&gt;=3.6,"P2 半年内推进",IF(P67&gt;=3.2,"P3 储备观察","P4 暂缓")))</f>
        <v>P3 储备观察</v>
      </c>
      <c r="R67" s="15" t="s">
        <v>430</v>
      </c>
      <c r="S67" s="15" t="s">
        <v>431</v>
      </c>
    </row>
    <row r="68" customFormat="false" ht="30" hidden="false" customHeight="true" outlineLevel="0" collapsed="false">
      <c r="A68" s="12" t="n">
        <v>67</v>
      </c>
      <c r="B68" s="7" t="s">
        <v>256</v>
      </c>
      <c r="C68" s="7" t="s">
        <v>432</v>
      </c>
      <c r="D68" s="7" t="s">
        <v>433</v>
      </c>
      <c r="E68" s="7" t="s">
        <v>434</v>
      </c>
      <c r="F68" s="7" t="s">
        <v>20</v>
      </c>
      <c r="G68" s="12" t="n">
        <v>3</v>
      </c>
      <c r="H68" s="7" t="s">
        <v>25</v>
      </c>
      <c r="I68" s="12" t="n">
        <v>4</v>
      </c>
      <c r="J68" s="7" t="s">
        <v>33</v>
      </c>
      <c r="K68" s="12" t="n">
        <v>3</v>
      </c>
      <c r="L68" s="7" t="s">
        <v>39</v>
      </c>
      <c r="M68" s="12" t="n">
        <v>3</v>
      </c>
      <c r="N68" s="7" t="s">
        <v>45</v>
      </c>
      <c r="O68" s="12" t="n">
        <v>4</v>
      </c>
      <c r="P68" s="13" t="n">
        <f aca="false">ROUND(G68*0.25+I68*0.25+K68*0.15+M68*0.15+O68*0.2,2)</f>
        <v>3.45</v>
      </c>
      <c r="Q68" s="12" t="str">
        <f aca="false">IF(P68&gt;=4,"P1 立即启动",IF(P68&gt;=3.6,"P2 半年内推进",IF(P68&gt;=3.2,"P3 储备观察","P4 暂缓")))</f>
        <v>P3 储备观察</v>
      </c>
      <c r="R68" s="7" t="s">
        <v>435</v>
      </c>
      <c r="S68" s="7" t="s">
        <v>436</v>
      </c>
    </row>
    <row r="69" customFormat="false" ht="30" hidden="false" customHeight="true" outlineLevel="0" collapsed="false">
      <c r="A69" s="14" t="n">
        <v>68</v>
      </c>
      <c r="B69" s="15" t="s">
        <v>256</v>
      </c>
      <c r="C69" s="15" t="s">
        <v>437</v>
      </c>
      <c r="D69" s="15" t="s">
        <v>438</v>
      </c>
      <c r="E69" s="15" t="s">
        <v>439</v>
      </c>
      <c r="F69" s="15" t="s">
        <v>20</v>
      </c>
      <c r="G69" s="14" t="n">
        <v>3</v>
      </c>
      <c r="H69" s="15" t="s">
        <v>25</v>
      </c>
      <c r="I69" s="14" t="n">
        <v>4</v>
      </c>
      <c r="J69" s="15" t="s">
        <v>34</v>
      </c>
      <c r="K69" s="14" t="n">
        <v>2</v>
      </c>
      <c r="L69" s="15" t="s">
        <v>38</v>
      </c>
      <c r="M69" s="14" t="n">
        <v>4</v>
      </c>
      <c r="N69" s="15" t="s">
        <v>45</v>
      </c>
      <c r="O69" s="14" t="n">
        <v>4</v>
      </c>
      <c r="P69" s="16" t="n">
        <f aca="false">ROUND(G69*0.25+I69*0.25+K69*0.15+M69*0.15+O69*0.2,2)</f>
        <v>3.45</v>
      </c>
      <c r="Q69" s="14" t="str">
        <f aca="false">IF(P69&gt;=4,"P1 立即启动",IF(P69&gt;=3.6,"P2 半年内推进",IF(P69&gt;=3.2,"P3 储备观察","P4 暂缓")))</f>
        <v>P3 储备观察</v>
      </c>
      <c r="R69" s="15" t="s">
        <v>440</v>
      </c>
      <c r="S69" s="15" t="s">
        <v>441</v>
      </c>
    </row>
    <row r="70" customFormat="false" ht="30" hidden="false" customHeight="true" outlineLevel="0" collapsed="false">
      <c r="A70" s="12" t="n">
        <v>69</v>
      </c>
      <c r="B70" s="7" t="s">
        <v>256</v>
      </c>
      <c r="C70" s="7" t="s">
        <v>442</v>
      </c>
      <c r="D70" s="7" t="s">
        <v>443</v>
      </c>
      <c r="E70" s="7" t="s">
        <v>444</v>
      </c>
      <c r="F70" s="7" t="s">
        <v>20</v>
      </c>
      <c r="G70" s="12" t="n">
        <v>3</v>
      </c>
      <c r="H70" s="7" t="s">
        <v>25</v>
      </c>
      <c r="I70" s="12" t="n">
        <v>4</v>
      </c>
      <c r="J70" s="7" t="s">
        <v>33</v>
      </c>
      <c r="K70" s="12" t="n">
        <v>3</v>
      </c>
      <c r="L70" s="7" t="s">
        <v>39</v>
      </c>
      <c r="M70" s="12" t="n">
        <v>3</v>
      </c>
      <c r="N70" s="7" t="s">
        <v>45</v>
      </c>
      <c r="O70" s="12" t="n">
        <v>4</v>
      </c>
      <c r="P70" s="13" t="n">
        <f aca="false">ROUND(G70*0.25+I70*0.25+K70*0.15+M70*0.15+O70*0.2,2)</f>
        <v>3.45</v>
      </c>
      <c r="Q70" s="12" t="str">
        <f aca="false">IF(P70&gt;=4,"P1 立即启动",IF(P70&gt;=3.6,"P2 半年内推进",IF(P70&gt;=3.2,"P3 储备观察","P4 暂缓")))</f>
        <v>P3 储备观察</v>
      </c>
      <c r="R70" s="7" t="s">
        <v>445</v>
      </c>
      <c r="S70" s="7" t="s">
        <v>446</v>
      </c>
    </row>
    <row r="71" customFormat="false" ht="30" hidden="false" customHeight="true" outlineLevel="0" collapsed="false">
      <c r="A71" s="14" t="n">
        <v>70</v>
      </c>
      <c r="B71" s="15" t="s">
        <v>256</v>
      </c>
      <c r="C71" s="15" t="s">
        <v>427</v>
      </c>
      <c r="D71" s="15" t="s">
        <v>447</v>
      </c>
      <c r="E71" s="15" t="s">
        <v>448</v>
      </c>
      <c r="F71" s="15" t="s">
        <v>20</v>
      </c>
      <c r="G71" s="14" t="n">
        <v>3</v>
      </c>
      <c r="H71" s="15" t="s">
        <v>25</v>
      </c>
      <c r="I71" s="14" t="n">
        <v>4</v>
      </c>
      <c r="J71" s="15" t="s">
        <v>34</v>
      </c>
      <c r="K71" s="14" t="n">
        <v>2</v>
      </c>
      <c r="L71" s="15" t="s">
        <v>38</v>
      </c>
      <c r="M71" s="14" t="n">
        <v>4</v>
      </c>
      <c r="N71" s="15" t="s">
        <v>45</v>
      </c>
      <c r="O71" s="14" t="n">
        <v>4</v>
      </c>
      <c r="P71" s="16" t="n">
        <f aca="false">ROUND(G71*0.25+I71*0.25+K71*0.15+M71*0.15+O71*0.2,2)</f>
        <v>3.45</v>
      </c>
      <c r="Q71" s="14" t="str">
        <f aca="false">IF(P71&gt;=4,"P1 立即启动",IF(P71&gt;=3.6,"P2 半年内推进",IF(P71&gt;=3.2,"P3 储备观察","P4 暂缓")))</f>
        <v>P3 储备观察</v>
      </c>
      <c r="R71" s="15" t="s">
        <v>449</v>
      </c>
      <c r="S71" s="15" t="s">
        <v>450</v>
      </c>
    </row>
    <row r="72" customFormat="false" ht="30" hidden="false" customHeight="true" outlineLevel="0" collapsed="false">
      <c r="A72" s="12" t="n">
        <v>71</v>
      </c>
      <c r="B72" s="7" t="s">
        <v>256</v>
      </c>
      <c r="C72" s="7" t="s">
        <v>451</v>
      </c>
      <c r="D72" s="7" t="s">
        <v>452</v>
      </c>
      <c r="E72" s="7" t="s">
        <v>453</v>
      </c>
      <c r="F72" s="7" t="s">
        <v>19</v>
      </c>
      <c r="G72" s="12" t="n">
        <v>4</v>
      </c>
      <c r="H72" s="7" t="s">
        <v>26</v>
      </c>
      <c r="I72" s="12" t="n">
        <v>3</v>
      </c>
      <c r="J72" s="7" t="s">
        <v>34</v>
      </c>
      <c r="K72" s="12" t="n">
        <v>2</v>
      </c>
      <c r="L72" s="7" t="s">
        <v>38</v>
      </c>
      <c r="M72" s="12" t="n">
        <v>4</v>
      </c>
      <c r="N72" s="7" t="s">
        <v>45</v>
      </c>
      <c r="O72" s="12" t="n">
        <v>4</v>
      </c>
      <c r="P72" s="13" t="n">
        <f aca="false">ROUND(G72*0.25+I72*0.25+K72*0.15+M72*0.15+O72*0.2,2)</f>
        <v>3.45</v>
      </c>
      <c r="Q72" s="12" t="str">
        <f aca="false">IF(P72&gt;=4,"P1 立即启动",IF(P72&gt;=3.6,"P2 半年内推进",IF(P72&gt;=3.2,"P3 储备观察","P4 暂缓")))</f>
        <v>P3 储备观察</v>
      </c>
      <c r="R72" s="7" t="s">
        <v>454</v>
      </c>
      <c r="S72" s="7" t="s">
        <v>455</v>
      </c>
    </row>
    <row r="73" customFormat="false" ht="30" hidden="false" customHeight="true" outlineLevel="0" collapsed="false">
      <c r="A73" s="14" t="n">
        <v>72</v>
      </c>
      <c r="B73" s="15" t="s">
        <v>126</v>
      </c>
      <c r="C73" s="15" t="s">
        <v>456</v>
      </c>
      <c r="D73" s="15" t="s">
        <v>457</v>
      </c>
      <c r="E73" s="15" t="s">
        <v>458</v>
      </c>
      <c r="F73" s="15" t="s">
        <v>19</v>
      </c>
      <c r="G73" s="14" t="n">
        <v>4</v>
      </c>
      <c r="H73" s="15" t="s">
        <v>26</v>
      </c>
      <c r="I73" s="14" t="n">
        <v>3</v>
      </c>
      <c r="J73" s="15" t="s">
        <v>33</v>
      </c>
      <c r="K73" s="14" t="n">
        <v>3</v>
      </c>
      <c r="L73" s="15" t="s">
        <v>39</v>
      </c>
      <c r="M73" s="14" t="n">
        <v>3</v>
      </c>
      <c r="N73" s="15" t="s">
        <v>45</v>
      </c>
      <c r="O73" s="14" t="n">
        <v>4</v>
      </c>
      <c r="P73" s="16" t="n">
        <f aca="false">ROUND(G73*0.25+I73*0.25+K73*0.15+M73*0.15+O73*0.2,2)</f>
        <v>3.45</v>
      </c>
      <c r="Q73" s="14" t="str">
        <f aca="false">IF(P73&gt;=4,"P1 立即启动",IF(P73&gt;=3.6,"P2 半年内推进",IF(P73&gt;=3.2,"P3 储备观察","P4 暂缓")))</f>
        <v>P3 储备观察</v>
      </c>
      <c r="R73" s="15" t="s">
        <v>459</v>
      </c>
      <c r="S73" s="15" t="s">
        <v>460</v>
      </c>
    </row>
    <row r="74" customFormat="false" ht="30" hidden="false" customHeight="true" outlineLevel="0" collapsed="false">
      <c r="A74" s="12" t="n">
        <v>73</v>
      </c>
      <c r="B74" s="7" t="s">
        <v>365</v>
      </c>
      <c r="C74" s="7" t="s">
        <v>461</v>
      </c>
      <c r="D74" s="7" t="s">
        <v>462</v>
      </c>
      <c r="E74" s="7" t="s">
        <v>463</v>
      </c>
      <c r="F74" s="7" t="s">
        <v>21</v>
      </c>
      <c r="G74" s="12" t="n">
        <v>2</v>
      </c>
      <c r="H74" s="7" t="s">
        <v>24</v>
      </c>
      <c r="I74" s="12" t="n">
        <v>5</v>
      </c>
      <c r="J74" s="7" t="s">
        <v>34</v>
      </c>
      <c r="K74" s="12" t="n">
        <v>2</v>
      </c>
      <c r="L74" s="7" t="s">
        <v>38</v>
      </c>
      <c r="M74" s="12" t="n">
        <v>4</v>
      </c>
      <c r="N74" s="7" t="s">
        <v>45</v>
      </c>
      <c r="O74" s="12" t="n">
        <v>4</v>
      </c>
      <c r="P74" s="13" t="n">
        <f aca="false">ROUND(G74*0.25+I74*0.25+K74*0.15+M74*0.15+O74*0.2,2)</f>
        <v>3.45</v>
      </c>
      <c r="Q74" s="12" t="str">
        <f aca="false">IF(P74&gt;=4,"P1 立即启动",IF(P74&gt;=3.6,"P2 半年内推进",IF(P74&gt;=3.2,"P3 储备观察","P4 暂缓")))</f>
        <v>P3 储备观察</v>
      </c>
      <c r="R74" s="7" t="s">
        <v>464</v>
      </c>
      <c r="S74" s="7" t="s">
        <v>465</v>
      </c>
    </row>
    <row r="75" customFormat="false" ht="30" hidden="false" customHeight="true" outlineLevel="0" collapsed="false">
      <c r="A75" s="14" t="n">
        <v>74</v>
      </c>
      <c r="B75" s="15" t="s">
        <v>411</v>
      </c>
      <c r="C75" s="15" t="s">
        <v>466</v>
      </c>
      <c r="D75" s="15" t="s">
        <v>467</v>
      </c>
      <c r="E75" s="15" t="s">
        <v>468</v>
      </c>
      <c r="F75" s="15" t="s">
        <v>22</v>
      </c>
      <c r="G75" s="14" t="n">
        <v>1</v>
      </c>
      <c r="H75" s="15" t="s">
        <v>24</v>
      </c>
      <c r="I75" s="14" t="n">
        <v>5</v>
      </c>
      <c r="J75" s="15" t="s">
        <v>34</v>
      </c>
      <c r="K75" s="14" t="n">
        <v>2</v>
      </c>
      <c r="L75" s="15" t="s">
        <v>38</v>
      </c>
      <c r="M75" s="14" t="n">
        <v>4</v>
      </c>
      <c r="N75" s="15" t="s">
        <v>44</v>
      </c>
      <c r="O75" s="14" t="n">
        <v>5</v>
      </c>
      <c r="P75" s="16" t="n">
        <f aca="false">ROUND(G75*0.25+I75*0.25+K75*0.15+M75*0.15+O75*0.2,2)</f>
        <v>3.4</v>
      </c>
      <c r="Q75" s="14" t="str">
        <f aca="false">IF(P75&gt;=4,"P1 立即启动",IF(P75&gt;=3.6,"P2 半年内推进",IF(P75&gt;=3.2,"P3 储备观察","P4 暂缓")))</f>
        <v>P3 储备观察</v>
      </c>
      <c r="R75" s="15" t="s">
        <v>469</v>
      </c>
      <c r="S75" s="15" t="s">
        <v>470</v>
      </c>
    </row>
    <row r="76" customFormat="false" ht="30" hidden="false" customHeight="true" outlineLevel="0" collapsed="false">
      <c r="A76" s="12" t="n">
        <v>75</v>
      </c>
      <c r="B76" s="7" t="s">
        <v>411</v>
      </c>
      <c r="C76" s="7" t="s">
        <v>471</v>
      </c>
      <c r="D76" s="7" t="s">
        <v>472</v>
      </c>
      <c r="E76" s="7" t="s">
        <v>473</v>
      </c>
      <c r="F76" s="7" t="s">
        <v>22</v>
      </c>
      <c r="G76" s="12" t="n">
        <v>1</v>
      </c>
      <c r="H76" s="7" t="s">
        <v>24</v>
      </c>
      <c r="I76" s="12" t="n">
        <v>5</v>
      </c>
      <c r="J76" s="7" t="s">
        <v>34</v>
      </c>
      <c r="K76" s="12" t="n">
        <v>2</v>
      </c>
      <c r="L76" s="7" t="s">
        <v>38</v>
      </c>
      <c r="M76" s="12" t="n">
        <v>4</v>
      </c>
      <c r="N76" s="7" t="s">
        <v>44</v>
      </c>
      <c r="O76" s="12" t="n">
        <v>5</v>
      </c>
      <c r="P76" s="13" t="n">
        <f aca="false">ROUND(G76*0.25+I76*0.25+K76*0.15+M76*0.15+O76*0.2,2)</f>
        <v>3.4</v>
      </c>
      <c r="Q76" s="12" t="str">
        <f aca="false">IF(P76&gt;=4,"P1 立即启动",IF(P76&gt;=3.6,"P2 半年内推进",IF(P76&gt;=3.2,"P3 储备观察","P4 暂缓")))</f>
        <v>P3 储备观察</v>
      </c>
      <c r="R76" s="7" t="s">
        <v>474</v>
      </c>
      <c r="S76" s="7" t="s">
        <v>475</v>
      </c>
    </row>
    <row r="77" customFormat="false" ht="30" hidden="false" customHeight="true" outlineLevel="0" collapsed="false">
      <c r="A77" s="14" t="n">
        <v>76</v>
      </c>
      <c r="B77" s="15" t="s">
        <v>219</v>
      </c>
      <c r="C77" s="15" t="s">
        <v>476</v>
      </c>
      <c r="D77" s="15" t="s">
        <v>477</v>
      </c>
      <c r="E77" s="15" t="s">
        <v>478</v>
      </c>
      <c r="F77" s="15" t="s">
        <v>19</v>
      </c>
      <c r="G77" s="14" t="n">
        <v>4</v>
      </c>
      <c r="H77" s="15" t="s">
        <v>24</v>
      </c>
      <c r="I77" s="14" t="n">
        <v>5</v>
      </c>
      <c r="J77" s="15" t="s">
        <v>34</v>
      </c>
      <c r="K77" s="14" t="n">
        <v>2</v>
      </c>
      <c r="L77" s="15" t="s">
        <v>39</v>
      </c>
      <c r="M77" s="14" t="n">
        <v>3</v>
      </c>
      <c r="N77" s="15" t="s">
        <v>47</v>
      </c>
      <c r="O77" s="14" t="n">
        <v>2</v>
      </c>
      <c r="P77" s="16" t="n">
        <f aca="false">ROUND(G77*0.25+I77*0.25+K77*0.15+M77*0.15+O77*0.2,2)</f>
        <v>3.4</v>
      </c>
      <c r="Q77" s="14" t="str">
        <f aca="false">IF(P77&gt;=4,"P1 立即启动",IF(P77&gt;=3.6,"P2 半年内推进",IF(P77&gt;=3.2,"P3 储备观察","P4 暂缓")))</f>
        <v>P3 储备观察</v>
      </c>
      <c r="R77" s="15" t="s">
        <v>479</v>
      </c>
      <c r="S77" s="15" t="s">
        <v>480</v>
      </c>
    </row>
    <row r="78" customFormat="false" ht="30" hidden="false" customHeight="true" outlineLevel="0" collapsed="false">
      <c r="A78" s="12" t="n">
        <v>77</v>
      </c>
      <c r="B78" s="7" t="s">
        <v>105</v>
      </c>
      <c r="C78" s="7" t="s">
        <v>481</v>
      </c>
      <c r="D78" s="7" t="s">
        <v>482</v>
      </c>
      <c r="E78" s="7" t="s">
        <v>483</v>
      </c>
      <c r="F78" s="7" t="s">
        <v>19</v>
      </c>
      <c r="G78" s="12" t="n">
        <v>4</v>
      </c>
      <c r="H78" s="7" t="s">
        <v>25</v>
      </c>
      <c r="I78" s="12" t="n">
        <v>4</v>
      </c>
      <c r="J78" s="7" t="s">
        <v>34</v>
      </c>
      <c r="K78" s="12" t="n">
        <v>2</v>
      </c>
      <c r="L78" s="7" t="s">
        <v>39</v>
      </c>
      <c r="M78" s="12" t="n">
        <v>3</v>
      </c>
      <c r="N78" s="7" t="s">
        <v>46</v>
      </c>
      <c r="O78" s="12" t="n">
        <v>3</v>
      </c>
      <c r="P78" s="13" t="n">
        <f aca="false">ROUND(G78*0.25+I78*0.25+K78*0.15+M78*0.15+O78*0.2,2)</f>
        <v>3.35</v>
      </c>
      <c r="Q78" s="12" t="str">
        <f aca="false">IF(P78&gt;=4,"P1 立即启动",IF(P78&gt;=3.6,"P2 半年内推进",IF(P78&gt;=3.2,"P3 储备观察","P4 暂缓")))</f>
        <v>P3 储备观察</v>
      </c>
      <c r="R78" s="7" t="s">
        <v>484</v>
      </c>
      <c r="S78" s="7" t="s">
        <v>485</v>
      </c>
    </row>
    <row r="79" customFormat="false" ht="30" hidden="false" customHeight="true" outlineLevel="0" collapsed="false">
      <c r="A79" s="14" t="n">
        <v>78</v>
      </c>
      <c r="B79" s="15" t="s">
        <v>169</v>
      </c>
      <c r="C79" s="15" t="s">
        <v>486</v>
      </c>
      <c r="D79" s="15" t="s">
        <v>487</v>
      </c>
      <c r="E79" s="15" t="s">
        <v>488</v>
      </c>
      <c r="F79" s="15" t="s">
        <v>19</v>
      </c>
      <c r="G79" s="14" t="n">
        <v>4</v>
      </c>
      <c r="H79" s="15" t="s">
        <v>25</v>
      </c>
      <c r="I79" s="14" t="n">
        <v>4</v>
      </c>
      <c r="J79" s="15" t="s">
        <v>34</v>
      </c>
      <c r="K79" s="14" t="n">
        <v>2</v>
      </c>
      <c r="L79" s="15" t="s">
        <v>39</v>
      </c>
      <c r="M79" s="14" t="n">
        <v>3</v>
      </c>
      <c r="N79" s="15" t="s">
        <v>46</v>
      </c>
      <c r="O79" s="14" t="n">
        <v>3</v>
      </c>
      <c r="P79" s="16" t="n">
        <f aca="false">ROUND(G79*0.25+I79*0.25+K79*0.15+M79*0.15+O79*0.2,2)</f>
        <v>3.35</v>
      </c>
      <c r="Q79" s="14" t="str">
        <f aca="false">IF(P79&gt;=4,"P1 立即启动",IF(P79&gt;=3.6,"P2 半年内推进",IF(P79&gt;=3.2,"P3 储备观察","P4 暂缓")))</f>
        <v>P3 储备观察</v>
      </c>
      <c r="R79" s="15" t="s">
        <v>489</v>
      </c>
      <c r="S79" s="15" t="s">
        <v>490</v>
      </c>
    </row>
    <row r="80" customFormat="false" ht="30" hidden="false" customHeight="true" outlineLevel="0" collapsed="false">
      <c r="A80" s="12" t="n">
        <v>79</v>
      </c>
      <c r="B80" s="7" t="s">
        <v>169</v>
      </c>
      <c r="C80" s="7" t="s">
        <v>376</v>
      </c>
      <c r="D80" s="7" t="s">
        <v>491</v>
      </c>
      <c r="E80" s="7" t="s">
        <v>492</v>
      </c>
      <c r="F80" s="7" t="s">
        <v>19</v>
      </c>
      <c r="G80" s="12" t="n">
        <v>4</v>
      </c>
      <c r="H80" s="7" t="s">
        <v>25</v>
      </c>
      <c r="I80" s="12" t="n">
        <v>4</v>
      </c>
      <c r="J80" s="7" t="s">
        <v>34</v>
      </c>
      <c r="K80" s="12" t="n">
        <v>2</v>
      </c>
      <c r="L80" s="7" t="s">
        <v>39</v>
      </c>
      <c r="M80" s="12" t="n">
        <v>3</v>
      </c>
      <c r="N80" s="7" t="s">
        <v>46</v>
      </c>
      <c r="O80" s="12" t="n">
        <v>3</v>
      </c>
      <c r="P80" s="13" t="n">
        <f aca="false">ROUND(G80*0.25+I80*0.25+K80*0.15+M80*0.15+O80*0.2,2)</f>
        <v>3.35</v>
      </c>
      <c r="Q80" s="12" t="str">
        <f aca="false">IF(P80&gt;=4,"P1 立即启动",IF(P80&gt;=3.6,"P2 半年内推进",IF(P80&gt;=3.2,"P3 储备观察","P4 暂缓")))</f>
        <v>P3 储备观察</v>
      </c>
      <c r="R80" s="7" t="s">
        <v>493</v>
      </c>
      <c r="S80" s="7" t="s">
        <v>494</v>
      </c>
    </row>
    <row r="81" customFormat="false" ht="30" hidden="false" customHeight="true" outlineLevel="0" collapsed="false">
      <c r="A81" s="14" t="n">
        <v>80</v>
      </c>
      <c r="B81" s="15" t="s">
        <v>333</v>
      </c>
      <c r="C81" s="15" t="s">
        <v>495</v>
      </c>
      <c r="D81" s="15" t="s">
        <v>496</v>
      </c>
      <c r="E81" s="15" t="s">
        <v>497</v>
      </c>
      <c r="F81" s="15" t="s">
        <v>20</v>
      </c>
      <c r="G81" s="14" t="n">
        <v>3</v>
      </c>
      <c r="H81" s="15" t="s">
        <v>24</v>
      </c>
      <c r="I81" s="14" t="n">
        <v>5</v>
      </c>
      <c r="J81" s="15" t="s">
        <v>34</v>
      </c>
      <c r="K81" s="14" t="n">
        <v>2</v>
      </c>
      <c r="L81" s="15" t="s">
        <v>39</v>
      </c>
      <c r="M81" s="14" t="n">
        <v>3</v>
      </c>
      <c r="N81" s="15" t="s">
        <v>46</v>
      </c>
      <c r="O81" s="14" t="n">
        <v>3</v>
      </c>
      <c r="P81" s="16" t="n">
        <f aca="false">ROUND(G81*0.25+I81*0.25+K81*0.15+M81*0.15+O81*0.2,2)</f>
        <v>3.35</v>
      </c>
      <c r="Q81" s="14" t="str">
        <f aca="false">IF(P81&gt;=4,"P1 立即启动",IF(P81&gt;=3.6,"P2 半年内推进",IF(P81&gt;=3.2,"P3 储备观察","P4 暂缓")))</f>
        <v>P3 储备观察</v>
      </c>
      <c r="R81" s="15" t="s">
        <v>498</v>
      </c>
      <c r="S81" s="15" t="s">
        <v>499</v>
      </c>
    </row>
    <row r="82" customFormat="false" ht="30" hidden="false" customHeight="true" outlineLevel="0" collapsed="false">
      <c r="A82" s="12" t="n">
        <v>81</v>
      </c>
      <c r="B82" s="7" t="s">
        <v>333</v>
      </c>
      <c r="C82" s="7" t="s">
        <v>500</v>
      </c>
      <c r="D82" s="7" t="s">
        <v>501</v>
      </c>
      <c r="E82" s="7" t="s">
        <v>502</v>
      </c>
      <c r="F82" s="7" t="s">
        <v>20</v>
      </c>
      <c r="G82" s="12" t="n">
        <v>3</v>
      </c>
      <c r="H82" s="7" t="s">
        <v>24</v>
      </c>
      <c r="I82" s="12" t="n">
        <v>5</v>
      </c>
      <c r="J82" s="7" t="s">
        <v>34</v>
      </c>
      <c r="K82" s="12" t="n">
        <v>2</v>
      </c>
      <c r="L82" s="7" t="s">
        <v>39</v>
      </c>
      <c r="M82" s="12" t="n">
        <v>3</v>
      </c>
      <c r="N82" s="7" t="s">
        <v>46</v>
      </c>
      <c r="O82" s="12" t="n">
        <v>3</v>
      </c>
      <c r="P82" s="13" t="n">
        <f aca="false">ROUND(G82*0.25+I82*0.25+K82*0.15+M82*0.15+O82*0.2,2)</f>
        <v>3.35</v>
      </c>
      <c r="Q82" s="12" t="str">
        <f aca="false">IF(P82&gt;=4,"P1 立即启动",IF(P82&gt;=3.6,"P2 半年内推进",IF(P82&gt;=3.2,"P3 储备观察","P4 暂缓")))</f>
        <v>P3 储备观察</v>
      </c>
      <c r="R82" s="7" t="s">
        <v>503</v>
      </c>
      <c r="S82" s="7" t="s">
        <v>504</v>
      </c>
    </row>
    <row r="83" customFormat="false" ht="30" hidden="false" customHeight="true" outlineLevel="0" collapsed="false">
      <c r="A83" s="14" t="n">
        <v>82</v>
      </c>
      <c r="B83" s="15" t="s">
        <v>94</v>
      </c>
      <c r="C83" s="15" t="s">
        <v>505</v>
      </c>
      <c r="D83" s="15" t="s">
        <v>506</v>
      </c>
      <c r="E83" s="15" t="s">
        <v>507</v>
      </c>
      <c r="F83" s="15" t="s">
        <v>19</v>
      </c>
      <c r="G83" s="14" t="n">
        <v>4</v>
      </c>
      <c r="H83" s="15" t="s">
        <v>25</v>
      </c>
      <c r="I83" s="14" t="n">
        <v>4</v>
      </c>
      <c r="J83" s="15" t="s">
        <v>34</v>
      </c>
      <c r="K83" s="14" t="n">
        <v>2</v>
      </c>
      <c r="L83" s="15" t="s">
        <v>39</v>
      </c>
      <c r="M83" s="14" t="n">
        <v>3</v>
      </c>
      <c r="N83" s="15" t="s">
        <v>46</v>
      </c>
      <c r="O83" s="14" t="n">
        <v>3</v>
      </c>
      <c r="P83" s="16" t="n">
        <f aca="false">ROUND(G83*0.25+I83*0.25+K83*0.15+M83*0.15+O83*0.2,2)</f>
        <v>3.35</v>
      </c>
      <c r="Q83" s="14" t="str">
        <f aca="false">IF(P83&gt;=4,"P1 立即启动",IF(P83&gt;=3.6,"P2 半年内推进",IF(P83&gt;=3.2,"P3 储备观察","P4 暂缓")))</f>
        <v>P3 储备观察</v>
      </c>
      <c r="R83" s="15" t="s">
        <v>508</v>
      </c>
      <c r="S83" s="15" t="s">
        <v>509</v>
      </c>
    </row>
    <row r="84" customFormat="false" ht="30" hidden="false" customHeight="true" outlineLevel="0" collapsed="false">
      <c r="A84" s="12" t="n">
        <v>83</v>
      </c>
      <c r="B84" s="7" t="s">
        <v>219</v>
      </c>
      <c r="C84" s="7" t="s">
        <v>510</v>
      </c>
      <c r="D84" s="7" t="s">
        <v>511</v>
      </c>
      <c r="E84" s="7" t="s">
        <v>512</v>
      </c>
      <c r="F84" s="7" t="s">
        <v>19</v>
      </c>
      <c r="G84" s="12" t="n">
        <v>4</v>
      </c>
      <c r="H84" s="7" t="s">
        <v>25</v>
      </c>
      <c r="I84" s="12" t="n">
        <v>4</v>
      </c>
      <c r="J84" s="7" t="s">
        <v>34</v>
      </c>
      <c r="K84" s="12" t="n">
        <v>2</v>
      </c>
      <c r="L84" s="7" t="s">
        <v>39</v>
      </c>
      <c r="M84" s="12" t="n">
        <v>3</v>
      </c>
      <c r="N84" s="7" t="s">
        <v>46</v>
      </c>
      <c r="O84" s="12" t="n">
        <v>3</v>
      </c>
      <c r="P84" s="13" t="n">
        <f aca="false">ROUND(G84*0.25+I84*0.25+K84*0.15+M84*0.15+O84*0.2,2)</f>
        <v>3.35</v>
      </c>
      <c r="Q84" s="12" t="str">
        <f aca="false">IF(P84&gt;=4,"P1 立即启动",IF(P84&gt;=3.6,"P2 半年内推进",IF(P84&gt;=3.2,"P3 储备观察","P4 暂缓")))</f>
        <v>P3 储备观察</v>
      </c>
      <c r="R84" s="7" t="s">
        <v>513</v>
      </c>
      <c r="S84" s="7" t="s">
        <v>514</v>
      </c>
    </row>
    <row r="85" customFormat="false" ht="30" hidden="false" customHeight="true" outlineLevel="0" collapsed="false">
      <c r="A85" s="14" t="n">
        <v>84</v>
      </c>
      <c r="B85" s="15" t="s">
        <v>219</v>
      </c>
      <c r="C85" s="15" t="s">
        <v>323</v>
      </c>
      <c r="D85" s="15" t="s">
        <v>515</v>
      </c>
      <c r="E85" s="15" t="s">
        <v>516</v>
      </c>
      <c r="F85" s="15" t="s">
        <v>19</v>
      </c>
      <c r="G85" s="14" t="n">
        <v>4</v>
      </c>
      <c r="H85" s="15" t="s">
        <v>25</v>
      </c>
      <c r="I85" s="14" t="n">
        <v>4</v>
      </c>
      <c r="J85" s="15" t="s">
        <v>34</v>
      </c>
      <c r="K85" s="14" t="n">
        <v>2</v>
      </c>
      <c r="L85" s="15" t="s">
        <v>39</v>
      </c>
      <c r="M85" s="14" t="n">
        <v>3</v>
      </c>
      <c r="N85" s="15" t="s">
        <v>46</v>
      </c>
      <c r="O85" s="14" t="n">
        <v>3</v>
      </c>
      <c r="P85" s="16" t="n">
        <f aca="false">ROUND(G85*0.25+I85*0.25+K85*0.15+M85*0.15+O85*0.2,2)</f>
        <v>3.35</v>
      </c>
      <c r="Q85" s="14" t="str">
        <f aca="false">IF(P85&gt;=4,"P1 立即启动",IF(P85&gt;=3.6,"P2 半年内推进",IF(P85&gt;=3.2,"P3 储备观察","P4 暂缓")))</f>
        <v>P3 储备观察</v>
      </c>
      <c r="R85" s="15" t="s">
        <v>517</v>
      </c>
      <c r="S85" s="15" t="s">
        <v>518</v>
      </c>
    </row>
    <row r="86" customFormat="false" ht="30" hidden="false" customHeight="true" outlineLevel="0" collapsed="false">
      <c r="A86" s="12" t="n">
        <v>85</v>
      </c>
      <c r="B86" s="7" t="s">
        <v>169</v>
      </c>
      <c r="C86" s="7" t="s">
        <v>376</v>
      </c>
      <c r="D86" s="7" t="s">
        <v>519</v>
      </c>
      <c r="E86" s="7" t="s">
        <v>520</v>
      </c>
      <c r="F86" s="7" t="s">
        <v>21</v>
      </c>
      <c r="G86" s="12" t="n">
        <v>2</v>
      </c>
      <c r="H86" s="7" t="s">
        <v>25</v>
      </c>
      <c r="I86" s="12" t="n">
        <v>4</v>
      </c>
      <c r="J86" s="7" t="s">
        <v>33</v>
      </c>
      <c r="K86" s="12" t="n">
        <v>3</v>
      </c>
      <c r="L86" s="7" t="s">
        <v>38</v>
      </c>
      <c r="M86" s="12" t="n">
        <v>4</v>
      </c>
      <c r="N86" s="7" t="s">
        <v>45</v>
      </c>
      <c r="O86" s="12" t="n">
        <v>4</v>
      </c>
      <c r="P86" s="13" t="n">
        <f aca="false">ROUND(G86*0.25+I86*0.25+K86*0.15+M86*0.15+O86*0.2,2)</f>
        <v>3.35</v>
      </c>
      <c r="Q86" s="12" t="str">
        <f aca="false">IF(P86&gt;=4,"P1 立即启动",IF(P86&gt;=3.6,"P2 半年内推进",IF(P86&gt;=3.2,"P3 储备观察","P4 暂缓")))</f>
        <v>P3 储备观察</v>
      </c>
      <c r="R86" s="8" t="s">
        <v>521</v>
      </c>
      <c r="S86" s="7" t="s">
        <v>522</v>
      </c>
    </row>
    <row r="87" customFormat="false" ht="30" hidden="false" customHeight="true" outlineLevel="0" collapsed="false">
      <c r="A87" s="14" t="n">
        <v>86</v>
      </c>
      <c r="B87" s="15" t="s">
        <v>293</v>
      </c>
      <c r="C87" s="15" t="s">
        <v>523</v>
      </c>
      <c r="D87" s="15" t="s">
        <v>524</v>
      </c>
      <c r="E87" s="15" t="s">
        <v>525</v>
      </c>
      <c r="F87" s="15" t="s">
        <v>21</v>
      </c>
      <c r="G87" s="14" t="n">
        <v>2</v>
      </c>
      <c r="H87" s="15" t="s">
        <v>25</v>
      </c>
      <c r="I87" s="14" t="n">
        <v>4</v>
      </c>
      <c r="J87" s="15" t="s">
        <v>33</v>
      </c>
      <c r="K87" s="14" t="n">
        <v>3</v>
      </c>
      <c r="L87" s="15" t="s">
        <v>38</v>
      </c>
      <c r="M87" s="14" t="n">
        <v>4</v>
      </c>
      <c r="N87" s="15" t="s">
        <v>45</v>
      </c>
      <c r="O87" s="14" t="n">
        <v>4</v>
      </c>
      <c r="P87" s="16" t="n">
        <f aca="false">ROUND(G87*0.25+I87*0.25+K87*0.15+M87*0.15+O87*0.2,2)</f>
        <v>3.35</v>
      </c>
      <c r="Q87" s="14" t="str">
        <f aca="false">IF(P87&gt;=4,"P1 立即启动",IF(P87&gt;=3.6,"P2 半年内推进",IF(P87&gt;=3.2,"P3 储备观察","P4 暂缓")))</f>
        <v>P3 储备观察</v>
      </c>
      <c r="R87" s="15" t="s">
        <v>526</v>
      </c>
      <c r="S87" s="15" t="s">
        <v>527</v>
      </c>
    </row>
    <row r="88" customFormat="false" ht="30" hidden="false" customHeight="true" outlineLevel="0" collapsed="false">
      <c r="A88" s="12" t="n">
        <v>87</v>
      </c>
      <c r="B88" s="7" t="s">
        <v>94</v>
      </c>
      <c r="C88" s="7" t="s">
        <v>111</v>
      </c>
      <c r="D88" s="7" t="s">
        <v>528</v>
      </c>
      <c r="E88" s="7" t="s">
        <v>529</v>
      </c>
      <c r="F88" s="7" t="s">
        <v>21</v>
      </c>
      <c r="G88" s="12" t="n">
        <v>2</v>
      </c>
      <c r="H88" s="7" t="s">
        <v>25</v>
      </c>
      <c r="I88" s="12" t="n">
        <v>4</v>
      </c>
      <c r="J88" s="7" t="s">
        <v>33</v>
      </c>
      <c r="K88" s="12" t="n">
        <v>3</v>
      </c>
      <c r="L88" s="7" t="s">
        <v>38</v>
      </c>
      <c r="M88" s="12" t="n">
        <v>4</v>
      </c>
      <c r="N88" s="7" t="s">
        <v>45</v>
      </c>
      <c r="O88" s="12" t="n">
        <v>4</v>
      </c>
      <c r="P88" s="13" t="n">
        <f aca="false">ROUND(G88*0.25+I88*0.25+K88*0.15+M88*0.15+O88*0.2,2)</f>
        <v>3.35</v>
      </c>
      <c r="Q88" s="12" t="str">
        <f aca="false">IF(P88&gt;=4,"P1 立即启动",IF(P88&gt;=3.6,"P2 半年内推进",IF(P88&gt;=3.2,"P3 储备观察","P4 暂缓")))</f>
        <v>P3 储备观察</v>
      </c>
      <c r="R88" s="7" t="s">
        <v>530</v>
      </c>
      <c r="S88" s="7" t="s">
        <v>531</v>
      </c>
    </row>
    <row r="89" customFormat="false" ht="30" hidden="false" customHeight="true" outlineLevel="0" collapsed="false">
      <c r="A89" s="14" t="n">
        <v>88</v>
      </c>
      <c r="B89" s="15" t="s">
        <v>219</v>
      </c>
      <c r="C89" s="15" t="s">
        <v>532</v>
      </c>
      <c r="D89" s="15" t="s">
        <v>533</v>
      </c>
      <c r="E89" s="15" t="s">
        <v>534</v>
      </c>
      <c r="F89" s="15" t="s">
        <v>21</v>
      </c>
      <c r="G89" s="14" t="n">
        <v>2</v>
      </c>
      <c r="H89" s="15" t="s">
        <v>25</v>
      </c>
      <c r="I89" s="14" t="n">
        <v>4</v>
      </c>
      <c r="J89" s="15" t="s">
        <v>33</v>
      </c>
      <c r="K89" s="14" t="n">
        <v>3</v>
      </c>
      <c r="L89" s="15" t="s">
        <v>38</v>
      </c>
      <c r="M89" s="14" t="n">
        <v>4</v>
      </c>
      <c r="N89" s="15" t="s">
        <v>45</v>
      </c>
      <c r="O89" s="14" t="n">
        <v>4</v>
      </c>
      <c r="P89" s="16" t="n">
        <f aca="false">ROUND(G89*0.25+I89*0.25+K89*0.15+M89*0.15+O89*0.2,2)</f>
        <v>3.35</v>
      </c>
      <c r="Q89" s="14" t="str">
        <f aca="false">IF(P89&gt;=4,"P1 立即启动",IF(P89&gt;=3.6,"P2 半年内推进",IF(P89&gt;=3.2,"P3 储备观察","P4 暂缓")))</f>
        <v>P3 储备观察</v>
      </c>
      <c r="R89" s="15" t="s">
        <v>535</v>
      </c>
      <c r="S89" s="15" t="s">
        <v>536</v>
      </c>
    </row>
    <row r="90" customFormat="false" ht="30" hidden="false" customHeight="true" outlineLevel="0" collapsed="false">
      <c r="A90" s="12" t="n">
        <v>89</v>
      </c>
      <c r="B90" s="7" t="s">
        <v>163</v>
      </c>
      <c r="C90" s="7" t="s">
        <v>537</v>
      </c>
      <c r="D90" s="7" t="s">
        <v>538</v>
      </c>
      <c r="E90" s="7" t="s">
        <v>539</v>
      </c>
      <c r="F90" s="7" t="s">
        <v>20</v>
      </c>
      <c r="G90" s="12" t="n">
        <v>3</v>
      </c>
      <c r="H90" s="7" t="s">
        <v>26</v>
      </c>
      <c r="I90" s="12" t="n">
        <v>3</v>
      </c>
      <c r="J90" s="7" t="s">
        <v>33</v>
      </c>
      <c r="K90" s="12" t="n">
        <v>3</v>
      </c>
      <c r="L90" s="7" t="s">
        <v>38</v>
      </c>
      <c r="M90" s="12" t="n">
        <v>4</v>
      </c>
      <c r="N90" s="7" t="s">
        <v>45</v>
      </c>
      <c r="O90" s="12" t="n">
        <v>4</v>
      </c>
      <c r="P90" s="13" t="n">
        <f aca="false">ROUND(G90*0.25+I90*0.25+K90*0.15+M90*0.15+O90*0.2,2)</f>
        <v>3.35</v>
      </c>
      <c r="Q90" s="12" t="str">
        <f aca="false">IF(P90&gt;=4,"P1 立即启动",IF(P90&gt;=3.6,"P2 半年内推进",IF(P90&gt;=3.2,"P3 储备观察","P4 暂缓")))</f>
        <v>P3 储备观察</v>
      </c>
      <c r="R90" s="7" t="s">
        <v>540</v>
      </c>
      <c r="S90" s="7" t="s">
        <v>541</v>
      </c>
    </row>
    <row r="91" customFormat="false" ht="30" hidden="false" customHeight="true" outlineLevel="0" collapsed="false">
      <c r="A91" s="14" t="n">
        <v>90</v>
      </c>
      <c r="B91" s="15" t="s">
        <v>132</v>
      </c>
      <c r="C91" s="15" t="s">
        <v>542</v>
      </c>
      <c r="D91" s="15" t="s">
        <v>543</v>
      </c>
      <c r="E91" s="15" t="s">
        <v>544</v>
      </c>
      <c r="F91" s="15" t="s">
        <v>20</v>
      </c>
      <c r="G91" s="14" t="n">
        <v>3</v>
      </c>
      <c r="H91" s="15" t="s">
        <v>26</v>
      </c>
      <c r="I91" s="14" t="n">
        <v>3</v>
      </c>
      <c r="J91" s="15" t="s">
        <v>33</v>
      </c>
      <c r="K91" s="14" t="n">
        <v>3</v>
      </c>
      <c r="L91" s="15" t="s">
        <v>38</v>
      </c>
      <c r="M91" s="14" t="n">
        <v>4</v>
      </c>
      <c r="N91" s="15" t="s">
        <v>45</v>
      </c>
      <c r="O91" s="14" t="n">
        <v>4</v>
      </c>
      <c r="P91" s="16" t="n">
        <f aca="false">ROUND(G91*0.25+I91*0.25+K91*0.15+M91*0.15+O91*0.2,2)</f>
        <v>3.35</v>
      </c>
      <c r="Q91" s="14" t="str">
        <f aca="false">IF(P91&gt;=4,"P1 立即启动",IF(P91&gt;=3.6,"P2 半年内推进",IF(P91&gt;=3.2,"P3 储备观察","P4 暂缓")))</f>
        <v>P3 储备观察</v>
      </c>
      <c r="R91" s="15" t="s">
        <v>545</v>
      </c>
      <c r="S91" s="15" t="s">
        <v>546</v>
      </c>
    </row>
    <row r="92" customFormat="false" ht="30" hidden="false" customHeight="true" outlineLevel="0" collapsed="false">
      <c r="A92" s="12" t="n">
        <v>91</v>
      </c>
      <c r="B92" s="7" t="s">
        <v>105</v>
      </c>
      <c r="C92" s="7" t="s">
        <v>547</v>
      </c>
      <c r="D92" s="7" t="s">
        <v>548</v>
      </c>
      <c r="E92" s="7" t="s">
        <v>549</v>
      </c>
      <c r="F92" s="7" t="s">
        <v>20</v>
      </c>
      <c r="G92" s="12" t="n">
        <v>3</v>
      </c>
      <c r="H92" s="7" t="s">
        <v>25</v>
      </c>
      <c r="I92" s="12" t="n">
        <v>4</v>
      </c>
      <c r="J92" s="7" t="s">
        <v>33</v>
      </c>
      <c r="K92" s="12" t="n">
        <v>3</v>
      </c>
      <c r="L92" s="7" t="s">
        <v>40</v>
      </c>
      <c r="M92" s="12" t="n">
        <v>2</v>
      </c>
      <c r="N92" s="7" t="s">
        <v>45</v>
      </c>
      <c r="O92" s="12" t="n">
        <v>4</v>
      </c>
      <c r="P92" s="13" t="n">
        <f aca="false">ROUND(G92*0.25+I92*0.25+K92*0.15+M92*0.15+O92*0.2,2)</f>
        <v>3.3</v>
      </c>
      <c r="Q92" s="12" t="str">
        <f aca="false">IF(P92&gt;=4,"P1 立即启动",IF(P92&gt;=3.6,"P2 半年内推进",IF(P92&gt;=3.2,"P3 储备观察","P4 暂缓")))</f>
        <v>P3 储备观察</v>
      </c>
      <c r="R92" s="7" t="s">
        <v>550</v>
      </c>
      <c r="S92" s="7" t="s">
        <v>551</v>
      </c>
    </row>
    <row r="93" customFormat="false" ht="30" hidden="false" customHeight="true" outlineLevel="0" collapsed="false">
      <c r="A93" s="14" t="n">
        <v>92</v>
      </c>
      <c r="B93" s="15" t="s">
        <v>169</v>
      </c>
      <c r="C93" s="15" t="s">
        <v>456</v>
      </c>
      <c r="D93" s="15" t="s">
        <v>552</v>
      </c>
      <c r="E93" s="15" t="s">
        <v>553</v>
      </c>
      <c r="F93" s="15" t="s">
        <v>20</v>
      </c>
      <c r="G93" s="14" t="n">
        <v>3</v>
      </c>
      <c r="H93" s="15" t="s">
        <v>25</v>
      </c>
      <c r="I93" s="14" t="n">
        <v>4</v>
      </c>
      <c r="J93" s="15" t="s">
        <v>33</v>
      </c>
      <c r="K93" s="14" t="n">
        <v>3</v>
      </c>
      <c r="L93" s="15" t="s">
        <v>40</v>
      </c>
      <c r="M93" s="14" t="n">
        <v>2</v>
      </c>
      <c r="N93" s="15" t="s">
        <v>45</v>
      </c>
      <c r="O93" s="14" t="n">
        <v>4</v>
      </c>
      <c r="P93" s="16" t="n">
        <f aca="false">ROUND(G93*0.25+I93*0.25+K93*0.15+M93*0.15+O93*0.2,2)</f>
        <v>3.3</v>
      </c>
      <c r="Q93" s="14" t="str">
        <f aca="false">IF(P93&gt;=4,"P1 立即启动",IF(P93&gt;=3.6,"P2 半年内推进",IF(P93&gt;=3.2,"P3 储备观察","P4 暂缓")))</f>
        <v>P3 储备观察</v>
      </c>
      <c r="R93" s="15" t="s">
        <v>554</v>
      </c>
      <c r="S93" s="15" t="s">
        <v>555</v>
      </c>
    </row>
    <row r="94" customFormat="false" ht="30" hidden="false" customHeight="true" outlineLevel="0" collapsed="false">
      <c r="A94" s="12" t="n">
        <v>93</v>
      </c>
      <c r="B94" s="7" t="s">
        <v>272</v>
      </c>
      <c r="C94" s="7" t="s">
        <v>556</v>
      </c>
      <c r="D94" s="7" t="s">
        <v>557</v>
      </c>
      <c r="E94" s="7" t="s">
        <v>558</v>
      </c>
      <c r="F94" s="7" t="s">
        <v>20</v>
      </c>
      <c r="G94" s="12" t="n">
        <v>3</v>
      </c>
      <c r="H94" s="7" t="s">
        <v>25</v>
      </c>
      <c r="I94" s="12" t="n">
        <v>4</v>
      </c>
      <c r="J94" s="7" t="s">
        <v>34</v>
      </c>
      <c r="K94" s="12" t="n">
        <v>2</v>
      </c>
      <c r="L94" s="7" t="s">
        <v>39</v>
      </c>
      <c r="M94" s="12" t="n">
        <v>3</v>
      </c>
      <c r="N94" s="7" t="s">
        <v>45</v>
      </c>
      <c r="O94" s="12" t="n">
        <v>4</v>
      </c>
      <c r="P94" s="13" t="n">
        <f aca="false">ROUND(G94*0.25+I94*0.25+K94*0.15+M94*0.15+O94*0.2,2)</f>
        <v>3.3</v>
      </c>
      <c r="Q94" s="12" t="str">
        <f aca="false">IF(P94&gt;=4,"P1 立即启动",IF(P94&gt;=3.6,"P2 半年内推进",IF(P94&gt;=3.2,"P3 储备观察","P4 暂缓")))</f>
        <v>P3 储备观察</v>
      </c>
      <c r="R94" s="7" t="s">
        <v>559</v>
      </c>
      <c r="S94" s="7" t="s">
        <v>560</v>
      </c>
    </row>
    <row r="95" customFormat="false" ht="30" hidden="false" customHeight="true" outlineLevel="0" collapsed="false">
      <c r="A95" s="14" t="n">
        <v>94</v>
      </c>
      <c r="B95" s="15" t="s">
        <v>272</v>
      </c>
      <c r="C95" s="15" t="s">
        <v>561</v>
      </c>
      <c r="D95" s="15" t="s">
        <v>562</v>
      </c>
      <c r="E95" s="15" t="s">
        <v>563</v>
      </c>
      <c r="F95" s="15" t="s">
        <v>19</v>
      </c>
      <c r="G95" s="14" t="n">
        <v>4</v>
      </c>
      <c r="H95" s="15" t="s">
        <v>26</v>
      </c>
      <c r="I95" s="14" t="n">
        <v>3</v>
      </c>
      <c r="J95" s="15" t="s">
        <v>34</v>
      </c>
      <c r="K95" s="14" t="n">
        <v>2</v>
      </c>
      <c r="L95" s="15" t="s">
        <v>39</v>
      </c>
      <c r="M95" s="14" t="n">
        <v>3</v>
      </c>
      <c r="N95" s="15" t="s">
        <v>45</v>
      </c>
      <c r="O95" s="14" t="n">
        <v>4</v>
      </c>
      <c r="P95" s="16" t="n">
        <f aca="false">ROUND(G95*0.25+I95*0.25+K95*0.15+M95*0.15+O95*0.2,2)</f>
        <v>3.3</v>
      </c>
      <c r="Q95" s="14" t="str">
        <f aca="false">IF(P95&gt;=4,"P1 立即启动",IF(P95&gt;=3.6,"P2 半年内推进",IF(P95&gt;=3.2,"P3 储备观察","P4 暂缓")))</f>
        <v>P3 储备观察</v>
      </c>
      <c r="R95" s="15" t="s">
        <v>564</v>
      </c>
      <c r="S95" s="15" t="s">
        <v>565</v>
      </c>
    </row>
    <row r="96" customFormat="false" ht="30" hidden="false" customHeight="true" outlineLevel="0" collapsed="false">
      <c r="A96" s="12" t="n">
        <v>95</v>
      </c>
      <c r="B96" s="7" t="s">
        <v>272</v>
      </c>
      <c r="C96" s="7" t="s">
        <v>566</v>
      </c>
      <c r="D96" s="7" t="s">
        <v>324</v>
      </c>
      <c r="E96" s="7" t="s">
        <v>567</v>
      </c>
      <c r="F96" s="7" t="s">
        <v>21</v>
      </c>
      <c r="G96" s="12" t="n">
        <v>2</v>
      </c>
      <c r="H96" s="7" t="s">
        <v>24</v>
      </c>
      <c r="I96" s="12" t="n">
        <v>5</v>
      </c>
      <c r="J96" s="7" t="s">
        <v>34</v>
      </c>
      <c r="K96" s="12" t="n">
        <v>2</v>
      </c>
      <c r="L96" s="7" t="s">
        <v>39</v>
      </c>
      <c r="M96" s="12" t="n">
        <v>3</v>
      </c>
      <c r="N96" s="7" t="s">
        <v>45</v>
      </c>
      <c r="O96" s="12" t="n">
        <v>4</v>
      </c>
      <c r="P96" s="13" t="n">
        <f aca="false">ROUND(G96*0.25+I96*0.25+K96*0.15+M96*0.15+O96*0.2,2)</f>
        <v>3.3</v>
      </c>
      <c r="Q96" s="12" t="str">
        <f aca="false">IF(P96&gt;=4,"P1 立即启动",IF(P96&gt;=3.6,"P2 半年内推进",IF(P96&gt;=3.2,"P3 储备观察","P4 暂缓")))</f>
        <v>P3 储备观察</v>
      </c>
      <c r="R96" s="7" t="s">
        <v>568</v>
      </c>
      <c r="S96" s="7" t="s">
        <v>569</v>
      </c>
    </row>
    <row r="97" customFormat="false" ht="30" hidden="false" customHeight="true" outlineLevel="0" collapsed="false">
      <c r="A97" s="14" t="n">
        <v>96</v>
      </c>
      <c r="B97" s="15" t="s">
        <v>88</v>
      </c>
      <c r="C97" s="15" t="s">
        <v>570</v>
      </c>
      <c r="D97" s="15" t="s">
        <v>571</v>
      </c>
      <c r="E97" s="15" t="s">
        <v>572</v>
      </c>
      <c r="F97" s="15" t="s">
        <v>18</v>
      </c>
      <c r="G97" s="14" t="n">
        <v>5</v>
      </c>
      <c r="H97" s="15" t="s">
        <v>27</v>
      </c>
      <c r="I97" s="14" t="n">
        <v>2</v>
      </c>
      <c r="J97" s="15" t="s">
        <v>33</v>
      </c>
      <c r="K97" s="14" t="n">
        <v>3</v>
      </c>
      <c r="L97" s="15" t="s">
        <v>39</v>
      </c>
      <c r="M97" s="14" t="n">
        <v>3</v>
      </c>
      <c r="N97" s="15" t="s">
        <v>46</v>
      </c>
      <c r="O97" s="14" t="n">
        <v>3</v>
      </c>
      <c r="P97" s="16" t="n">
        <f aca="false">ROUND(G97*0.25+I97*0.25+K97*0.15+M97*0.15+O97*0.2,2)</f>
        <v>3.25</v>
      </c>
      <c r="Q97" s="14" t="str">
        <f aca="false">IF(P97&gt;=4,"P1 立即启动",IF(P97&gt;=3.6,"P2 半年内推进",IF(P97&gt;=3.2,"P3 储备观察","P4 暂缓")))</f>
        <v>P3 储备观察</v>
      </c>
      <c r="R97" s="15" t="s">
        <v>573</v>
      </c>
      <c r="S97" s="15" t="s">
        <v>574</v>
      </c>
    </row>
    <row r="98" customFormat="false" ht="30" hidden="false" customHeight="true" outlineLevel="0" collapsed="false">
      <c r="A98" s="12" t="n">
        <v>97</v>
      </c>
      <c r="B98" s="7" t="s">
        <v>185</v>
      </c>
      <c r="C98" s="7" t="s">
        <v>575</v>
      </c>
      <c r="D98" s="7" t="s">
        <v>576</v>
      </c>
      <c r="E98" s="7" t="s">
        <v>577</v>
      </c>
      <c r="F98" s="7" t="s">
        <v>18</v>
      </c>
      <c r="G98" s="12" t="n">
        <v>5</v>
      </c>
      <c r="H98" s="7" t="s">
        <v>25</v>
      </c>
      <c r="I98" s="12" t="n">
        <v>4</v>
      </c>
      <c r="J98" s="7" t="s">
        <v>34</v>
      </c>
      <c r="K98" s="12" t="n">
        <v>2</v>
      </c>
      <c r="L98" s="7" t="s">
        <v>40</v>
      </c>
      <c r="M98" s="12" t="n">
        <v>2</v>
      </c>
      <c r="N98" s="7" t="s">
        <v>47</v>
      </c>
      <c r="O98" s="12" t="n">
        <v>2</v>
      </c>
      <c r="P98" s="13" t="n">
        <f aca="false">ROUND(G98*0.25+I98*0.25+K98*0.15+M98*0.15+O98*0.2,2)</f>
        <v>3.25</v>
      </c>
      <c r="Q98" s="12" t="str">
        <f aca="false">IF(P98&gt;=4,"P1 立即启动",IF(P98&gt;=3.6,"P2 半年内推进",IF(P98&gt;=3.2,"P3 储备观察","P4 暂缓")))</f>
        <v>P3 储备观察</v>
      </c>
      <c r="R98" s="7" t="s">
        <v>578</v>
      </c>
      <c r="S98" s="7" t="s">
        <v>579</v>
      </c>
    </row>
    <row r="99" customFormat="false" ht="30" hidden="false" customHeight="true" outlineLevel="0" collapsed="false">
      <c r="A99" s="14" t="n">
        <v>98</v>
      </c>
      <c r="B99" s="15" t="s">
        <v>580</v>
      </c>
      <c r="C99" s="15" t="s">
        <v>581</v>
      </c>
      <c r="D99" s="15" t="s">
        <v>582</v>
      </c>
      <c r="E99" s="15" t="s">
        <v>583</v>
      </c>
      <c r="F99" s="15" t="s">
        <v>22</v>
      </c>
      <c r="G99" s="14" t="n">
        <v>1</v>
      </c>
      <c r="H99" s="15" t="s">
        <v>26</v>
      </c>
      <c r="I99" s="14" t="n">
        <v>3</v>
      </c>
      <c r="J99" s="15" t="s">
        <v>33</v>
      </c>
      <c r="K99" s="14" t="n">
        <v>3</v>
      </c>
      <c r="L99" s="15" t="s">
        <v>37</v>
      </c>
      <c r="M99" s="14" t="n">
        <v>5</v>
      </c>
      <c r="N99" s="15" t="s">
        <v>44</v>
      </c>
      <c r="O99" s="14" t="n">
        <v>5</v>
      </c>
      <c r="P99" s="16" t="n">
        <f aca="false">ROUND(G99*0.25+I99*0.25+K99*0.15+M99*0.15+O99*0.2,2)</f>
        <v>3.2</v>
      </c>
      <c r="Q99" s="14" t="str">
        <f aca="false">IF(P99&gt;=4,"P1 立即启动",IF(P99&gt;=3.6,"P2 半年内推进",IF(P99&gt;=3.2,"P3 储备观察","P4 暂缓")))</f>
        <v>P3 储备观察</v>
      </c>
      <c r="R99" s="15" t="s">
        <v>584</v>
      </c>
      <c r="S99" s="15" t="s">
        <v>585</v>
      </c>
    </row>
    <row r="100" customFormat="false" ht="30" hidden="false" customHeight="true" outlineLevel="0" collapsed="false">
      <c r="A100" s="12" t="n">
        <v>99</v>
      </c>
      <c r="B100" s="7" t="s">
        <v>333</v>
      </c>
      <c r="C100" s="7" t="s">
        <v>586</v>
      </c>
      <c r="D100" s="7" t="s">
        <v>587</v>
      </c>
      <c r="E100" s="7" t="s">
        <v>588</v>
      </c>
      <c r="F100" s="7" t="s">
        <v>22</v>
      </c>
      <c r="G100" s="12" t="n">
        <v>1</v>
      </c>
      <c r="H100" s="7" t="s">
        <v>26</v>
      </c>
      <c r="I100" s="12" t="n">
        <v>3</v>
      </c>
      <c r="J100" s="7" t="s">
        <v>33</v>
      </c>
      <c r="K100" s="12" t="n">
        <v>3</v>
      </c>
      <c r="L100" s="7" t="s">
        <v>37</v>
      </c>
      <c r="M100" s="12" t="n">
        <v>5</v>
      </c>
      <c r="N100" s="7" t="s">
        <v>44</v>
      </c>
      <c r="O100" s="12" t="n">
        <v>5</v>
      </c>
      <c r="P100" s="13" t="n">
        <f aca="false">ROUND(G100*0.25+I100*0.25+K100*0.15+M100*0.15+O100*0.2,2)</f>
        <v>3.2</v>
      </c>
      <c r="Q100" s="12" t="str">
        <f aca="false">IF(P100&gt;=4,"P1 立即启动",IF(P100&gt;=3.6,"P2 半年内推进",IF(P100&gt;=3.2,"P3 储备观察","P4 暂缓")))</f>
        <v>P3 储备观察</v>
      </c>
      <c r="R100" s="7" t="s">
        <v>589</v>
      </c>
      <c r="S100" s="7" t="s">
        <v>590</v>
      </c>
    </row>
    <row r="101" customFormat="false" ht="30" hidden="false" customHeight="true" outlineLevel="0" collapsed="false">
      <c r="A101" s="14" t="n">
        <v>100</v>
      </c>
      <c r="B101" s="15" t="s">
        <v>354</v>
      </c>
      <c r="C101" s="15" t="s">
        <v>591</v>
      </c>
      <c r="D101" s="15" t="s">
        <v>592</v>
      </c>
      <c r="E101" s="15" t="s">
        <v>593</v>
      </c>
      <c r="F101" s="15" t="s">
        <v>21</v>
      </c>
      <c r="G101" s="14" t="n">
        <v>2</v>
      </c>
      <c r="H101" s="15" t="s">
        <v>25</v>
      </c>
      <c r="I101" s="14" t="n">
        <v>4</v>
      </c>
      <c r="J101" s="15" t="s">
        <v>33</v>
      </c>
      <c r="K101" s="14" t="n">
        <v>3</v>
      </c>
      <c r="L101" s="15" t="s">
        <v>39</v>
      </c>
      <c r="M101" s="14" t="n">
        <v>3</v>
      </c>
      <c r="N101" s="15" t="s">
        <v>45</v>
      </c>
      <c r="O101" s="14" t="n">
        <v>4</v>
      </c>
      <c r="P101" s="16" t="n">
        <f aca="false">ROUND(G101*0.25+I101*0.25+K101*0.15+M101*0.15+O101*0.2,2)</f>
        <v>3.2</v>
      </c>
      <c r="Q101" s="14" t="str">
        <f aca="false">IF(P101&gt;=4,"P1 立即启动",IF(P101&gt;=3.6,"P2 半年内推进",IF(P101&gt;=3.2,"P3 储备观察","P4 暂缓")))</f>
        <v>P3 储备观察</v>
      </c>
      <c r="R101" s="15" t="s">
        <v>594</v>
      </c>
      <c r="S101" s="15" t="s">
        <v>595</v>
      </c>
    </row>
    <row r="102" customFormat="false" ht="30" hidden="false" customHeight="true" outlineLevel="0" collapsed="false">
      <c r="A102" s="12" t="n">
        <v>101</v>
      </c>
      <c r="B102" s="7" t="s">
        <v>426</v>
      </c>
      <c r="C102" s="7" t="s">
        <v>596</v>
      </c>
      <c r="D102" s="7" t="s">
        <v>597</v>
      </c>
      <c r="E102" s="7" t="s">
        <v>598</v>
      </c>
      <c r="F102" s="7" t="s">
        <v>20</v>
      </c>
      <c r="G102" s="12" t="n">
        <v>3</v>
      </c>
      <c r="H102" s="7" t="s">
        <v>26</v>
      </c>
      <c r="I102" s="12" t="n">
        <v>3</v>
      </c>
      <c r="J102" s="7" t="s">
        <v>34</v>
      </c>
      <c r="K102" s="12" t="n">
        <v>2</v>
      </c>
      <c r="L102" s="7" t="s">
        <v>38</v>
      </c>
      <c r="M102" s="12" t="n">
        <v>4</v>
      </c>
      <c r="N102" s="7" t="s">
        <v>45</v>
      </c>
      <c r="O102" s="12" t="n">
        <v>4</v>
      </c>
      <c r="P102" s="13" t="n">
        <f aca="false">ROUND(G102*0.25+I102*0.25+K102*0.15+M102*0.15+O102*0.2,2)</f>
        <v>3.2</v>
      </c>
      <c r="Q102" s="12" t="str">
        <f aca="false">IF(P102&gt;=4,"P1 立即启动",IF(P102&gt;=3.6,"P2 半年内推进",IF(P102&gt;=3.2,"P3 储备观察","P4 暂缓")))</f>
        <v>P3 储备观察</v>
      </c>
      <c r="R102" s="7" t="s">
        <v>599</v>
      </c>
      <c r="S102" s="7" t="s">
        <v>600</v>
      </c>
    </row>
    <row r="103" customFormat="false" ht="30" hidden="false" customHeight="true" outlineLevel="0" collapsed="false">
      <c r="A103" s="14" t="n">
        <v>102</v>
      </c>
      <c r="B103" s="15" t="s">
        <v>426</v>
      </c>
      <c r="C103" s="15" t="s">
        <v>601</v>
      </c>
      <c r="D103" s="15" t="s">
        <v>602</v>
      </c>
      <c r="E103" s="15" t="s">
        <v>603</v>
      </c>
      <c r="F103" s="15" t="s">
        <v>20</v>
      </c>
      <c r="G103" s="14" t="n">
        <v>3</v>
      </c>
      <c r="H103" s="15" t="s">
        <v>26</v>
      </c>
      <c r="I103" s="14" t="n">
        <v>3</v>
      </c>
      <c r="J103" s="15" t="s">
        <v>33</v>
      </c>
      <c r="K103" s="14" t="n">
        <v>3</v>
      </c>
      <c r="L103" s="15" t="s">
        <v>39</v>
      </c>
      <c r="M103" s="14" t="n">
        <v>3</v>
      </c>
      <c r="N103" s="15" t="s">
        <v>45</v>
      </c>
      <c r="O103" s="14" t="n">
        <v>4</v>
      </c>
      <c r="P103" s="16" t="n">
        <f aca="false">ROUND(G103*0.25+I103*0.25+K103*0.15+M103*0.15+O103*0.2,2)</f>
        <v>3.2</v>
      </c>
      <c r="Q103" s="14" t="str">
        <f aca="false">IF(P103&gt;=4,"P1 立即启动",IF(P103&gt;=3.6,"P2 半年内推进",IF(P103&gt;=3.2,"P3 储备观察","P4 暂缓")))</f>
        <v>P3 储备观察</v>
      </c>
      <c r="R103" s="15" t="s">
        <v>604</v>
      </c>
      <c r="S103" s="15" t="s">
        <v>605</v>
      </c>
    </row>
    <row r="104" customFormat="false" ht="30" hidden="false" customHeight="true" outlineLevel="0" collapsed="false">
      <c r="A104" s="12" t="n">
        <v>103</v>
      </c>
      <c r="B104" s="7" t="s">
        <v>256</v>
      </c>
      <c r="C104" s="7" t="s">
        <v>437</v>
      </c>
      <c r="D104" s="7" t="s">
        <v>606</v>
      </c>
      <c r="E104" s="7" t="s">
        <v>607</v>
      </c>
      <c r="F104" s="7" t="s">
        <v>20</v>
      </c>
      <c r="G104" s="12" t="n">
        <v>3</v>
      </c>
      <c r="H104" s="7" t="s">
        <v>26</v>
      </c>
      <c r="I104" s="12" t="n">
        <v>3</v>
      </c>
      <c r="J104" s="7" t="s">
        <v>34</v>
      </c>
      <c r="K104" s="12" t="n">
        <v>2</v>
      </c>
      <c r="L104" s="7" t="s">
        <v>38</v>
      </c>
      <c r="M104" s="12" t="n">
        <v>4</v>
      </c>
      <c r="N104" s="7" t="s">
        <v>45</v>
      </c>
      <c r="O104" s="12" t="n">
        <v>4</v>
      </c>
      <c r="P104" s="13" t="n">
        <f aca="false">ROUND(G104*0.25+I104*0.25+K104*0.15+M104*0.15+O104*0.2,2)</f>
        <v>3.2</v>
      </c>
      <c r="Q104" s="12" t="str">
        <f aca="false">IF(P104&gt;=4,"P1 立即启动",IF(P104&gt;=3.6,"P2 半年内推进",IF(P104&gt;=3.2,"P3 储备观察","P4 暂缓")))</f>
        <v>P3 储备观察</v>
      </c>
      <c r="R104" s="7" t="s">
        <v>608</v>
      </c>
      <c r="S104" s="7" t="s">
        <v>609</v>
      </c>
    </row>
    <row r="105" customFormat="false" ht="30" hidden="false" customHeight="true" outlineLevel="0" collapsed="false">
      <c r="A105" s="14" t="n">
        <v>104</v>
      </c>
      <c r="B105" s="15" t="s">
        <v>610</v>
      </c>
      <c r="C105" s="15" t="s">
        <v>611</v>
      </c>
      <c r="D105" s="15" t="s">
        <v>612</v>
      </c>
      <c r="E105" s="15" t="s">
        <v>613</v>
      </c>
      <c r="F105" s="15" t="s">
        <v>20</v>
      </c>
      <c r="G105" s="14" t="n">
        <v>3</v>
      </c>
      <c r="H105" s="15" t="s">
        <v>26</v>
      </c>
      <c r="I105" s="14" t="n">
        <v>3</v>
      </c>
      <c r="J105" s="15" t="s">
        <v>34</v>
      </c>
      <c r="K105" s="14" t="n">
        <v>2</v>
      </c>
      <c r="L105" s="15" t="s">
        <v>38</v>
      </c>
      <c r="M105" s="14" t="n">
        <v>4</v>
      </c>
      <c r="N105" s="15" t="s">
        <v>45</v>
      </c>
      <c r="O105" s="14" t="n">
        <v>4</v>
      </c>
      <c r="P105" s="16" t="n">
        <f aca="false">ROUND(G105*0.25+I105*0.25+K105*0.15+M105*0.15+O105*0.2,2)</f>
        <v>3.2</v>
      </c>
      <c r="Q105" s="14" t="str">
        <f aca="false">IF(P105&gt;=4,"P1 立即启动",IF(P105&gt;=3.6,"P2 半年内推进",IF(P105&gt;=3.2,"P3 储备观察","P4 暂缓")))</f>
        <v>P3 储备观察</v>
      </c>
      <c r="R105" s="15" t="s">
        <v>614</v>
      </c>
      <c r="S105" s="15" t="s">
        <v>615</v>
      </c>
    </row>
    <row r="106" customFormat="false" ht="30" hidden="false" customHeight="true" outlineLevel="0" collapsed="false">
      <c r="A106" s="12" t="n">
        <v>105</v>
      </c>
      <c r="B106" s="7" t="s">
        <v>610</v>
      </c>
      <c r="C106" s="7" t="s">
        <v>616</v>
      </c>
      <c r="D106" s="7" t="s">
        <v>617</v>
      </c>
      <c r="E106" s="7" t="s">
        <v>618</v>
      </c>
      <c r="F106" s="7" t="s">
        <v>19</v>
      </c>
      <c r="G106" s="12" t="n">
        <v>4</v>
      </c>
      <c r="H106" s="7" t="s">
        <v>27</v>
      </c>
      <c r="I106" s="12" t="n">
        <v>2</v>
      </c>
      <c r="J106" s="7" t="s">
        <v>33</v>
      </c>
      <c r="K106" s="12" t="n">
        <v>3</v>
      </c>
      <c r="L106" s="7" t="s">
        <v>39</v>
      </c>
      <c r="M106" s="12" t="n">
        <v>3</v>
      </c>
      <c r="N106" s="7" t="s">
        <v>45</v>
      </c>
      <c r="O106" s="12" t="n">
        <v>4</v>
      </c>
      <c r="P106" s="13" t="n">
        <f aca="false">ROUND(G106*0.25+I106*0.25+K106*0.15+M106*0.15+O106*0.2,2)</f>
        <v>3.2</v>
      </c>
      <c r="Q106" s="12" t="str">
        <f aca="false">IF(P106&gt;=4,"P1 立即启动",IF(P106&gt;=3.6,"P2 半年内推进",IF(P106&gt;=3.2,"P3 储备观察","P4 暂缓")))</f>
        <v>P3 储备观察</v>
      </c>
      <c r="R106" s="7" t="s">
        <v>619</v>
      </c>
      <c r="S106" s="7" t="s">
        <v>620</v>
      </c>
    </row>
    <row r="107" customFormat="false" ht="30" hidden="false" customHeight="true" outlineLevel="0" collapsed="false">
      <c r="A107" s="14" t="n">
        <v>106</v>
      </c>
      <c r="B107" s="15" t="s">
        <v>621</v>
      </c>
      <c r="C107" s="15" t="s">
        <v>622</v>
      </c>
      <c r="D107" s="15" t="s">
        <v>623</v>
      </c>
      <c r="E107" s="15" t="s">
        <v>624</v>
      </c>
      <c r="F107" s="15" t="s">
        <v>18</v>
      </c>
      <c r="G107" s="14" t="n">
        <v>5</v>
      </c>
      <c r="H107" s="15" t="s">
        <v>26</v>
      </c>
      <c r="I107" s="14" t="n">
        <v>3</v>
      </c>
      <c r="J107" s="15" t="s">
        <v>35</v>
      </c>
      <c r="K107" s="14" t="n">
        <v>1</v>
      </c>
      <c r="L107" s="15" t="s">
        <v>39</v>
      </c>
      <c r="M107" s="14" t="n">
        <v>3</v>
      </c>
      <c r="N107" s="15" t="s">
        <v>46</v>
      </c>
      <c r="O107" s="14" t="n">
        <v>3</v>
      </c>
      <c r="P107" s="16" t="n">
        <f aca="false">ROUND(G107*0.25+I107*0.25+K107*0.15+M107*0.15+O107*0.2,2)</f>
        <v>3.2</v>
      </c>
      <c r="Q107" s="14" t="str">
        <f aca="false">IF(P107&gt;=4,"P1 立即启动",IF(P107&gt;=3.6,"P2 半年内推进",IF(P107&gt;=3.2,"P3 储备观察","P4 暂缓")))</f>
        <v>P3 储备观察</v>
      </c>
      <c r="R107" s="15" t="s">
        <v>625</v>
      </c>
      <c r="S107" s="15" t="s">
        <v>626</v>
      </c>
    </row>
    <row r="108" customFormat="false" ht="30" hidden="false" customHeight="true" outlineLevel="0" collapsed="false">
      <c r="A108" s="12" t="n">
        <v>107</v>
      </c>
      <c r="B108" s="7" t="s">
        <v>126</v>
      </c>
      <c r="C108" s="7" t="s">
        <v>627</v>
      </c>
      <c r="D108" s="7" t="s">
        <v>628</v>
      </c>
      <c r="E108" s="7" t="s">
        <v>629</v>
      </c>
      <c r="F108" s="7" t="s">
        <v>19</v>
      </c>
      <c r="G108" s="12" t="n">
        <v>4</v>
      </c>
      <c r="H108" s="7" t="s">
        <v>25</v>
      </c>
      <c r="I108" s="12" t="n">
        <v>4</v>
      </c>
      <c r="J108" s="7" t="s">
        <v>34</v>
      </c>
      <c r="K108" s="12" t="n">
        <v>2</v>
      </c>
      <c r="L108" s="7" t="s">
        <v>40</v>
      </c>
      <c r="M108" s="12" t="n">
        <v>2</v>
      </c>
      <c r="N108" s="7" t="s">
        <v>46</v>
      </c>
      <c r="O108" s="12" t="n">
        <v>3</v>
      </c>
      <c r="P108" s="13" t="n">
        <f aca="false">ROUND(G108*0.25+I108*0.25+K108*0.15+M108*0.15+O108*0.2,2)</f>
        <v>3.2</v>
      </c>
      <c r="Q108" s="12" t="str">
        <f aca="false">IF(P108&gt;=4,"P1 立即启动",IF(P108&gt;=3.6,"P2 半年内推进",IF(P108&gt;=3.2,"P3 储备观察","P4 暂缓")))</f>
        <v>P3 储备观察</v>
      </c>
      <c r="R108" s="7" t="s">
        <v>630</v>
      </c>
      <c r="S108" s="7" t="s">
        <v>631</v>
      </c>
    </row>
    <row r="109" customFormat="false" ht="30" hidden="false" customHeight="true" outlineLevel="0" collapsed="false">
      <c r="A109" s="14" t="n">
        <v>108</v>
      </c>
      <c r="B109" s="15" t="s">
        <v>138</v>
      </c>
      <c r="C109" s="15" t="s">
        <v>632</v>
      </c>
      <c r="D109" s="15" t="s">
        <v>633</v>
      </c>
      <c r="E109" s="15" t="s">
        <v>634</v>
      </c>
      <c r="F109" s="15" t="s">
        <v>22</v>
      </c>
      <c r="G109" s="14" t="n">
        <v>1</v>
      </c>
      <c r="H109" s="15" t="s">
        <v>25</v>
      </c>
      <c r="I109" s="14" t="n">
        <v>4</v>
      </c>
      <c r="J109" s="15" t="s">
        <v>34</v>
      </c>
      <c r="K109" s="14" t="n">
        <v>2</v>
      </c>
      <c r="L109" s="15" t="s">
        <v>38</v>
      </c>
      <c r="M109" s="14" t="n">
        <v>4</v>
      </c>
      <c r="N109" s="15" t="s">
        <v>44</v>
      </c>
      <c r="O109" s="14" t="n">
        <v>5</v>
      </c>
      <c r="P109" s="16" t="n">
        <f aca="false">ROUND(G109*0.25+I109*0.25+K109*0.15+M109*0.15+O109*0.2,2)</f>
        <v>3.15</v>
      </c>
      <c r="Q109" s="14" t="str">
        <f aca="false">IF(P109&gt;=4,"P1 立即启动",IF(P109&gt;=3.6,"P2 半年内推进",IF(P109&gt;=3.2,"P3 储备观察","P4 暂缓")))</f>
        <v>P4 暂缓</v>
      </c>
      <c r="R109" s="15" t="s">
        <v>635</v>
      </c>
      <c r="S109" s="15" t="s">
        <v>636</v>
      </c>
    </row>
    <row r="110" customFormat="false" ht="30" hidden="false" customHeight="true" outlineLevel="0" collapsed="false">
      <c r="A110" s="12" t="n">
        <v>109</v>
      </c>
      <c r="B110" s="7" t="s">
        <v>132</v>
      </c>
      <c r="C110" s="7" t="s">
        <v>637</v>
      </c>
      <c r="D110" s="7" t="s">
        <v>638</v>
      </c>
      <c r="E110" s="7" t="s">
        <v>639</v>
      </c>
      <c r="F110" s="7" t="s">
        <v>21</v>
      </c>
      <c r="G110" s="12" t="n">
        <v>2</v>
      </c>
      <c r="H110" s="7" t="s">
        <v>25</v>
      </c>
      <c r="I110" s="12" t="n">
        <v>4</v>
      </c>
      <c r="J110" s="7" t="s">
        <v>33</v>
      </c>
      <c r="K110" s="12" t="n">
        <v>3</v>
      </c>
      <c r="L110" s="7" t="s">
        <v>38</v>
      </c>
      <c r="M110" s="12" t="n">
        <v>4</v>
      </c>
      <c r="N110" s="7" t="s">
        <v>46</v>
      </c>
      <c r="O110" s="12" t="n">
        <v>3</v>
      </c>
      <c r="P110" s="13" t="n">
        <f aca="false">ROUND(G110*0.25+I110*0.25+K110*0.15+M110*0.15+O110*0.2,2)</f>
        <v>3.15</v>
      </c>
      <c r="Q110" s="12" t="str">
        <f aca="false">IF(P110&gt;=4,"P1 立即启动",IF(P110&gt;=3.6,"P2 半年内推进",IF(P110&gt;=3.2,"P3 储备观察","P4 暂缓")))</f>
        <v>P4 暂缓</v>
      </c>
      <c r="R110" s="7" t="s">
        <v>640</v>
      </c>
      <c r="S110" s="7" t="s">
        <v>641</v>
      </c>
    </row>
    <row r="111" customFormat="false" ht="30" hidden="false" customHeight="true" outlineLevel="0" collapsed="false">
      <c r="A111" s="14" t="n">
        <v>110</v>
      </c>
      <c r="B111" s="15" t="s">
        <v>386</v>
      </c>
      <c r="C111" s="15" t="s">
        <v>642</v>
      </c>
      <c r="D111" s="15" t="s">
        <v>643</v>
      </c>
      <c r="E111" s="15" t="s">
        <v>644</v>
      </c>
      <c r="F111" s="15" t="s">
        <v>20</v>
      </c>
      <c r="G111" s="14" t="n">
        <v>3</v>
      </c>
      <c r="H111" s="15" t="s">
        <v>25</v>
      </c>
      <c r="I111" s="14" t="n">
        <v>4</v>
      </c>
      <c r="J111" s="15" t="s">
        <v>34</v>
      </c>
      <c r="K111" s="14" t="n">
        <v>2</v>
      </c>
      <c r="L111" s="15" t="s">
        <v>39</v>
      </c>
      <c r="M111" s="14" t="n">
        <v>3</v>
      </c>
      <c r="N111" s="15" t="s">
        <v>46</v>
      </c>
      <c r="O111" s="14" t="n">
        <v>3</v>
      </c>
      <c r="P111" s="16" t="n">
        <f aca="false">ROUND(G111*0.25+I111*0.25+K111*0.15+M111*0.15+O111*0.2,2)</f>
        <v>3.1</v>
      </c>
      <c r="Q111" s="14" t="str">
        <f aca="false">IF(P111&gt;=4,"P1 立即启动",IF(P111&gt;=3.6,"P2 半年内推进",IF(P111&gt;=3.2,"P3 储备观察","P4 暂缓")))</f>
        <v>P4 暂缓</v>
      </c>
      <c r="R111" s="15" t="s">
        <v>645</v>
      </c>
      <c r="S111" s="15" t="s">
        <v>646</v>
      </c>
    </row>
    <row r="112" customFormat="false" ht="30" hidden="false" customHeight="true" outlineLevel="0" collapsed="false">
      <c r="A112" s="12" t="n">
        <v>111</v>
      </c>
      <c r="B112" s="7" t="s">
        <v>354</v>
      </c>
      <c r="C112" s="8" t="s">
        <v>647</v>
      </c>
      <c r="D112" s="7" t="s">
        <v>648</v>
      </c>
      <c r="E112" s="7" t="s">
        <v>649</v>
      </c>
      <c r="F112" s="7" t="s">
        <v>20</v>
      </c>
      <c r="G112" s="12" t="n">
        <v>3</v>
      </c>
      <c r="H112" s="7" t="s">
        <v>25</v>
      </c>
      <c r="I112" s="12" t="n">
        <v>4</v>
      </c>
      <c r="J112" s="7" t="s">
        <v>34</v>
      </c>
      <c r="K112" s="12" t="n">
        <v>2</v>
      </c>
      <c r="L112" s="7" t="s">
        <v>39</v>
      </c>
      <c r="M112" s="12" t="n">
        <v>3</v>
      </c>
      <c r="N112" s="7" t="s">
        <v>46</v>
      </c>
      <c r="O112" s="12" t="n">
        <v>3</v>
      </c>
      <c r="P112" s="13" t="n">
        <f aca="false">ROUND(G112*0.25+I112*0.25+K112*0.15+M112*0.15+O112*0.2,2)</f>
        <v>3.1</v>
      </c>
      <c r="Q112" s="12" t="str">
        <f aca="false">IF(P112&gt;=4,"P1 立即启动",IF(P112&gt;=3.6,"P2 半年内推进",IF(P112&gt;=3.2,"P3 储备观察","P4 暂缓")))</f>
        <v>P4 暂缓</v>
      </c>
      <c r="R112" s="7" t="s">
        <v>650</v>
      </c>
      <c r="S112" s="7" t="s">
        <v>651</v>
      </c>
    </row>
    <row r="113" customFormat="false" ht="30" hidden="false" customHeight="true" outlineLevel="0" collapsed="false">
      <c r="A113" s="14" t="n">
        <v>112</v>
      </c>
      <c r="B113" s="15" t="s">
        <v>126</v>
      </c>
      <c r="C113" s="15" t="s">
        <v>652</v>
      </c>
      <c r="D113" s="15" t="s">
        <v>653</v>
      </c>
      <c r="E113" s="15" t="s">
        <v>654</v>
      </c>
      <c r="F113" s="15" t="s">
        <v>19</v>
      </c>
      <c r="G113" s="14" t="n">
        <v>4</v>
      </c>
      <c r="H113" s="15" t="s">
        <v>26</v>
      </c>
      <c r="I113" s="14" t="n">
        <v>3</v>
      </c>
      <c r="J113" s="15" t="s">
        <v>34</v>
      </c>
      <c r="K113" s="14" t="n">
        <v>2</v>
      </c>
      <c r="L113" s="15" t="s">
        <v>39</v>
      </c>
      <c r="M113" s="14" t="n">
        <v>3</v>
      </c>
      <c r="N113" s="15" t="s">
        <v>46</v>
      </c>
      <c r="O113" s="14" t="n">
        <v>3</v>
      </c>
      <c r="P113" s="16" t="n">
        <f aca="false">ROUND(G113*0.25+I113*0.25+K113*0.15+M113*0.15+O113*0.2,2)</f>
        <v>3.1</v>
      </c>
      <c r="Q113" s="14" t="str">
        <f aca="false">IF(P113&gt;=4,"P1 立即启动",IF(P113&gt;=3.6,"P2 半年内推进",IF(P113&gt;=3.2,"P3 储备观察","P4 暂缓")))</f>
        <v>P4 暂缓</v>
      </c>
      <c r="R113" s="15" t="s">
        <v>655</v>
      </c>
      <c r="S113" s="15" t="s">
        <v>656</v>
      </c>
    </row>
    <row r="114" customFormat="false" ht="30" hidden="false" customHeight="true" outlineLevel="0" collapsed="false">
      <c r="A114" s="12" t="n">
        <v>113</v>
      </c>
      <c r="B114" s="7" t="s">
        <v>126</v>
      </c>
      <c r="C114" s="7" t="s">
        <v>657</v>
      </c>
      <c r="D114" s="7" t="s">
        <v>658</v>
      </c>
      <c r="E114" s="7" t="s">
        <v>659</v>
      </c>
      <c r="F114" s="7" t="s">
        <v>20</v>
      </c>
      <c r="G114" s="12" t="n">
        <v>3</v>
      </c>
      <c r="H114" s="7" t="s">
        <v>25</v>
      </c>
      <c r="I114" s="12" t="n">
        <v>4</v>
      </c>
      <c r="J114" s="7" t="s">
        <v>34</v>
      </c>
      <c r="K114" s="12" t="n">
        <v>2</v>
      </c>
      <c r="L114" s="7" t="s">
        <v>39</v>
      </c>
      <c r="M114" s="12" t="n">
        <v>3</v>
      </c>
      <c r="N114" s="7" t="s">
        <v>46</v>
      </c>
      <c r="O114" s="12" t="n">
        <v>3</v>
      </c>
      <c r="P114" s="13" t="n">
        <f aca="false">ROUND(G114*0.25+I114*0.25+K114*0.15+M114*0.15+O114*0.2,2)</f>
        <v>3.1</v>
      </c>
      <c r="Q114" s="12" t="str">
        <f aca="false">IF(P114&gt;=4,"P1 立即启动",IF(P114&gt;=3.6,"P2 半年内推进",IF(P114&gt;=3.2,"P3 储备观察","P4 暂缓")))</f>
        <v>P4 暂缓</v>
      </c>
      <c r="R114" s="7" t="s">
        <v>660</v>
      </c>
      <c r="S114" s="7" t="s">
        <v>661</v>
      </c>
    </row>
    <row r="115" customFormat="false" ht="30" hidden="false" customHeight="true" outlineLevel="0" collapsed="false">
      <c r="A115" s="14" t="n">
        <v>114</v>
      </c>
      <c r="B115" s="15" t="s">
        <v>126</v>
      </c>
      <c r="C115" s="15" t="s">
        <v>662</v>
      </c>
      <c r="D115" s="15" t="s">
        <v>663</v>
      </c>
      <c r="E115" s="15" t="s">
        <v>664</v>
      </c>
      <c r="F115" s="15" t="s">
        <v>19</v>
      </c>
      <c r="G115" s="14" t="n">
        <v>4</v>
      </c>
      <c r="H115" s="15" t="s">
        <v>26</v>
      </c>
      <c r="I115" s="14" t="n">
        <v>3</v>
      </c>
      <c r="J115" s="15" t="s">
        <v>34</v>
      </c>
      <c r="K115" s="14" t="n">
        <v>2</v>
      </c>
      <c r="L115" s="15" t="s">
        <v>39</v>
      </c>
      <c r="M115" s="14" t="n">
        <v>3</v>
      </c>
      <c r="N115" s="15" t="s">
        <v>46</v>
      </c>
      <c r="O115" s="14" t="n">
        <v>3</v>
      </c>
      <c r="P115" s="16" t="n">
        <f aca="false">ROUND(G115*0.25+I115*0.25+K115*0.15+M115*0.15+O115*0.2,2)</f>
        <v>3.1</v>
      </c>
      <c r="Q115" s="14" t="str">
        <f aca="false">IF(P115&gt;=4,"P1 立即启动",IF(P115&gt;=3.6,"P2 半年内推进",IF(P115&gt;=3.2,"P3 储备观察","P4 暂缓")))</f>
        <v>P4 暂缓</v>
      </c>
      <c r="R115" s="15" t="s">
        <v>665</v>
      </c>
      <c r="S115" s="15" t="s">
        <v>666</v>
      </c>
    </row>
    <row r="116" customFormat="false" ht="30" hidden="false" customHeight="true" outlineLevel="0" collapsed="false">
      <c r="A116" s="12" t="n">
        <v>115</v>
      </c>
      <c r="B116" s="7" t="s">
        <v>272</v>
      </c>
      <c r="C116" s="7" t="s">
        <v>667</v>
      </c>
      <c r="D116" s="7" t="s">
        <v>668</v>
      </c>
      <c r="E116" s="7" t="s">
        <v>669</v>
      </c>
      <c r="F116" s="7" t="s">
        <v>19</v>
      </c>
      <c r="G116" s="12" t="n">
        <v>4</v>
      </c>
      <c r="H116" s="7" t="s">
        <v>26</v>
      </c>
      <c r="I116" s="12" t="n">
        <v>3</v>
      </c>
      <c r="J116" s="7" t="s">
        <v>34</v>
      </c>
      <c r="K116" s="12" t="n">
        <v>2</v>
      </c>
      <c r="L116" s="7" t="s">
        <v>39</v>
      </c>
      <c r="M116" s="12" t="n">
        <v>3</v>
      </c>
      <c r="N116" s="7" t="s">
        <v>46</v>
      </c>
      <c r="O116" s="12" t="n">
        <v>3</v>
      </c>
      <c r="P116" s="13" t="n">
        <f aca="false">ROUND(G116*0.25+I116*0.25+K116*0.15+M116*0.15+O116*0.2,2)</f>
        <v>3.1</v>
      </c>
      <c r="Q116" s="12" t="str">
        <f aca="false">IF(P116&gt;=4,"P1 立即启动",IF(P116&gt;=3.6,"P2 半年内推进",IF(P116&gt;=3.2,"P3 储备观察","P4 暂缓")))</f>
        <v>P4 暂缓</v>
      </c>
      <c r="R116" s="7" t="s">
        <v>670</v>
      </c>
      <c r="S116" s="7" t="s">
        <v>671</v>
      </c>
    </row>
    <row r="117" customFormat="false" ht="30" hidden="false" customHeight="true" outlineLevel="0" collapsed="false">
      <c r="A117" s="14" t="n">
        <v>116</v>
      </c>
      <c r="B117" s="15" t="s">
        <v>580</v>
      </c>
      <c r="C117" s="15" t="s">
        <v>672</v>
      </c>
      <c r="D117" s="15" t="s">
        <v>673</v>
      </c>
      <c r="E117" s="15" t="s">
        <v>674</v>
      </c>
      <c r="F117" s="15" t="s">
        <v>21</v>
      </c>
      <c r="G117" s="14" t="n">
        <v>2</v>
      </c>
      <c r="H117" s="15" t="s">
        <v>26</v>
      </c>
      <c r="I117" s="14" t="n">
        <v>3</v>
      </c>
      <c r="J117" s="15" t="s">
        <v>33</v>
      </c>
      <c r="K117" s="14" t="n">
        <v>3</v>
      </c>
      <c r="L117" s="15" t="s">
        <v>38</v>
      </c>
      <c r="M117" s="14" t="n">
        <v>4</v>
      </c>
      <c r="N117" s="15" t="s">
        <v>45</v>
      </c>
      <c r="O117" s="14" t="n">
        <v>4</v>
      </c>
      <c r="P117" s="16" t="n">
        <f aca="false">ROUND(G117*0.25+I117*0.25+K117*0.15+M117*0.15+O117*0.2,2)</f>
        <v>3.1</v>
      </c>
      <c r="Q117" s="14" t="str">
        <f aca="false">IF(P117&gt;=4,"P1 立即启动",IF(P117&gt;=3.6,"P2 半年内推进",IF(P117&gt;=3.2,"P3 储备观察","P4 暂缓")))</f>
        <v>P4 暂缓</v>
      </c>
      <c r="R117" s="15" t="s">
        <v>675</v>
      </c>
      <c r="S117" s="15" t="s">
        <v>676</v>
      </c>
    </row>
    <row r="118" customFormat="false" ht="30" hidden="false" customHeight="true" outlineLevel="0" collapsed="false">
      <c r="A118" s="12" t="n">
        <v>117</v>
      </c>
      <c r="B118" s="7" t="s">
        <v>94</v>
      </c>
      <c r="C118" s="7" t="s">
        <v>111</v>
      </c>
      <c r="D118" s="7" t="s">
        <v>677</v>
      </c>
      <c r="E118" s="7" t="s">
        <v>678</v>
      </c>
      <c r="F118" s="7" t="s">
        <v>21</v>
      </c>
      <c r="G118" s="12" t="n">
        <v>2</v>
      </c>
      <c r="H118" s="7" t="s">
        <v>26</v>
      </c>
      <c r="I118" s="12" t="n">
        <v>3</v>
      </c>
      <c r="J118" s="7" t="s">
        <v>33</v>
      </c>
      <c r="K118" s="12" t="n">
        <v>3</v>
      </c>
      <c r="L118" s="7" t="s">
        <v>38</v>
      </c>
      <c r="M118" s="12" t="n">
        <v>4</v>
      </c>
      <c r="N118" s="7" t="s">
        <v>45</v>
      </c>
      <c r="O118" s="12" t="n">
        <v>4</v>
      </c>
      <c r="P118" s="13" t="n">
        <f aca="false">ROUND(G118*0.25+I118*0.25+K118*0.15+M118*0.15+O118*0.2,2)</f>
        <v>3.1</v>
      </c>
      <c r="Q118" s="12" t="str">
        <f aca="false">IF(P118&gt;=4,"P1 立即启动",IF(P118&gt;=3.6,"P2 半年内推进",IF(P118&gt;=3.2,"P3 储备观察","P4 暂缓")))</f>
        <v>P4 暂缓</v>
      </c>
      <c r="R118" s="7" t="s">
        <v>679</v>
      </c>
      <c r="S118" s="7" t="s">
        <v>680</v>
      </c>
    </row>
    <row r="119" customFormat="false" ht="30" hidden="false" customHeight="true" outlineLevel="0" collapsed="false">
      <c r="A119" s="14" t="n">
        <v>118</v>
      </c>
      <c r="B119" s="15" t="s">
        <v>94</v>
      </c>
      <c r="C119" s="15" t="s">
        <v>158</v>
      </c>
      <c r="D119" s="15" t="s">
        <v>681</v>
      </c>
      <c r="E119" s="15" t="s">
        <v>682</v>
      </c>
      <c r="F119" s="15" t="s">
        <v>20</v>
      </c>
      <c r="G119" s="14" t="n">
        <v>3</v>
      </c>
      <c r="H119" s="15" t="s">
        <v>27</v>
      </c>
      <c r="I119" s="14" t="n">
        <v>2</v>
      </c>
      <c r="J119" s="15" t="s">
        <v>33</v>
      </c>
      <c r="K119" s="14" t="n">
        <v>3</v>
      </c>
      <c r="L119" s="15" t="s">
        <v>38</v>
      </c>
      <c r="M119" s="14" t="n">
        <v>4</v>
      </c>
      <c r="N119" s="15" t="s">
        <v>45</v>
      </c>
      <c r="O119" s="14" t="n">
        <v>4</v>
      </c>
      <c r="P119" s="16" t="n">
        <f aca="false">ROUND(G119*0.25+I119*0.25+K119*0.15+M119*0.15+O119*0.2,2)</f>
        <v>3.1</v>
      </c>
      <c r="Q119" s="14" t="str">
        <f aca="false">IF(P119&gt;=4,"P1 立即启动",IF(P119&gt;=3.6,"P2 半年内推进",IF(P119&gt;=3.2,"P3 储备观察","P4 暂缓")))</f>
        <v>P4 暂缓</v>
      </c>
      <c r="R119" s="15" t="s">
        <v>683</v>
      </c>
      <c r="S119" s="15" t="s">
        <v>684</v>
      </c>
    </row>
    <row r="120" customFormat="false" ht="30" hidden="false" customHeight="true" outlineLevel="0" collapsed="false">
      <c r="A120" s="12" t="n">
        <v>119</v>
      </c>
      <c r="B120" s="7" t="s">
        <v>163</v>
      </c>
      <c r="C120" s="7" t="s">
        <v>537</v>
      </c>
      <c r="D120" s="7" t="s">
        <v>538</v>
      </c>
      <c r="E120" s="7" t="s">
        <v>685</v>
      </c>
      <c r="F120" s="7" t="s">
        <v>21</v>
      </c>
      <c r="G120" s="12" t="n">
        <v>2</v>
      </c>
      <c r="H120" s="7" t="s">
        <v>26</v>
      </c>
      <c r="I120" s="12" t="n">
        <v>3</v>
      </c>
      <c r="J120" s="7" t="s">
        <v>33</v>
      </c>
      <c r="K120" s="12" t="n">
        <v>3</v>
      </c>
      <c r="L120" s="7" t="s">
        <v>38</v>
      </c>
      <c r="M120" s="12" t="n">
        <v>4</v>
      </c>
      <c r="N120" s="7" t="s">
        <v>45</v>
      </c>
      <c r="O120" s="12" t="n">
        <v>4</v>
      </c>
      <c r="P120" s="13" t="n">
        <f aca="false">ROUND(G120*0.25+I120*0.25+K120*0.15+M120*0.15+O120*0.2,2)</f>
        <v>3.1</v>
      </c>
      <c r="Q120" s="12" t="str">
        <f aca="false">IF(P120&gt;=4,"P1 立即启动",IF(P120&gt;=3.6,"P2 半年内推进",IF(P120&gt;=3.2,"P3 储备观察","P4 暂缓")))</f>
        <v>P4 暂缓</v>
      </c>
      <c r="R120" s="8" t="s">
        <v>686</v>
      </c>
      <c r="S120" s="7" t="s">
        <v>687</v>
      </c>
    </row>
    <row r="121" customFormat="false" ht="30" hidden="false" customHeight="true" outlineLevel="0" collapsed="false">
      <c r="A121" s="14" t="n">
        <v>120</v>
      </c>
      <c r="B121" s="15" t="s">
        <v>365</v>
      </c>
      <c r="C121" s="15" t="s">
        <v>406</v>
      </c>
      <c r="D121" s="15" t="s">
        <v>688</v>
      </c>
      <c r="E121" s="15" t="s">
        <v>689</v>
      </c>
      <c r="F121" s="15" t="s">
        <v>19</v>
      </c>
      <c r="G121" s="14" t="n">
        <v>4</v>
      </c>
      <c r="H121" s="15" t="s">
        <v>24</v>
      </c>
      <c r="I121" s="14" t="n">
        <v>5</v>
      </c>
      <c r="J121" s="15" t="s">
        <v>35</v>
      </c>
      <c r="K121" s="14" t="n">
        <v>1</v>
      </c>
      <c r="L121" s="15" t="s">
        <v>40</v>
      </c>
      <c r="M121" s="14" t="n">
        <v>2</v>
      </c>
      <c r="N121" s="15" t="s">
        <v>47</v>
      </c>
      <c r="O121" s="14" t="n">
        <v>2</v>
      </c>
      <c r="P121" s="16" t="n">
        <f aca="false">ROUND(G121*0.25+I121*0.25+K121*0.15+M121*0.15+O121*0.2,2)</f>
        <v>3.1</v>
      </c>
      <c r="Q121" s="14" t="str">
        <f aca="false">IF(P121&gt;=4,"P1 立即启动",IF(P121&gt;=3.6,"P2 半年内推进",IF(P121&gt;=3.2,"P3 储备观察","P4 暂缓")))</f>
        <v>P4 暂缓</v>
      </c>
      <c r="R121" s="15" t="s">
        <v>690</v>
      </c>
      <c r="S121" s="15" t="s">
        <v>691</v>
      </c>
    </row>
    <row r="122" customFormat="false" ht="30" hidden="false" customHeight="true" outlineLevel="0" collapsed="false">
      <c r="A122" s="12" t="n">
        <v>121</v>
      </c>
      <c r="B122" s="7" t="s">
        <v>365</v>
      </c>
      <c r="C122" s="7" t="s">
        <v>692</v>
      </c>
      <c r="D122" s="7" t="s">
        <v>693</v>
      </c>
      <c r="E122" s="7" t="s">
        <v>694</v>
      </c>
      <c r="F122" s="7" t="s">
        <v>19</v>
      </c>
      <c r="G122" s="12" t="n">
        <v>4</v>
      </c>
      <c r="H122" s="7" t="s">
        <v>24</v>
      </c>
      <c r="I122" s="12" t="n">
        <v>5</v>
      </c>
      <c r="J122" s="7" t="s">
        <v>35</v>
      </c>
      <c r="K122" s="12" t="n">
        <v>1</v>
      </c>
      <c r="L122" s="7" t="s">
        <v>40</v>
      </c>
      <c r="M122" s="12" t="n">
        <v>2</v>
      </c>
      <c r="N122" s="7" t="s">
        <v>47</v>
      </c>
      <c r="O122" s="12" t="n">
        <v>2</v>
      </c>
      <c r="P122" s="13" t="n">
        <f aca="false">ROUND(G122*0.25+I122*0.25+K122*0.15+M122*0.15+O122*0.2,2)</f>
        <v>3.1</v>
      </c>
      <c r="Q122" s="12" t="str">
        <f aca="false">IF(P122&gt;=4,"P1 立即启动",IF(P122&gt;=3.6,"P2 半年内推进",IF(P122&gt;=3.2,"P3 储备观察","P4 暂缓")))</f>
        <v>P4 暂缓</v>
      </c>
      <c r="R122" s="7" t="s">
        <v>695</v>
      </c>
      <c r="S122" s="7" t="s">
        <v>696</v>
      </c>
    </row>
    <row r="123" customFormat="false" ht="30" hidden="false" customHeight="true" outlineLevel="0" collapsed="false">
      <c r="A123" s="14" t="n">
        <v>122</v>
      </c>
      <c r="B123" s="15" t="s">
        <v>219</v>
      </c>
      <c r="C123" s="15" t="s">
        <v>697</v>
      </c>
      <c r="D123" s="15" t="s">
        <v>698</v>
      </c>
      <c r="E123" s="15" t="s">
        <v>699</v>
      </c>
      <c r="F123" s="15" t="s">
        <v>20</v>
      </c>
      <c r="G123" s="14" t="n">
        <v>3</v>
      </c>
      <c r="H123" s="15" t="s">
        <v>25</v>
      </c>
      <c r="I123" s="14" t="n">
        <v>4</v>
      </c>
      <c r="J123" s="15" t="s">
        <v>34</v>
      </c>
      <c r="K123" s="14" t="n">
        <v>2</v>
      </c>
      <c r="L123" s="15" t="s">
        <v>38</v>
      </c>
      <c r="M123" s="14" t="n">
        <v>4</v>
      </c>
      <c r="N123" s="15" t="s">
        <v>47</v>
      </c>
      <c r="O123" s="14" t="n">
        <v>2</v>
      </c>
      <c r="P123" s="16" t="n">
        <f aca="false">ROUND(G123*0.25+I123*0.25+K123*0.15+M123*0.15+O123*0.2,2)</f>
        <v>3.05</v>
      </c>
      <c r="Q123" s="14" t="str">
        <f aca="false">IF(P123&gt;=4,"P1 立即启动",IF(P123&gt;=3.6,"P2 半年内推进",IF(P123&gt;=3.2,"P3 储备观察","P4 暂缓")))</f>
        <v>P4 暂缓</v>
      </c>
      <c r="R123" s="15" t="s">
        <v>700</v>
      </c>
      <c r="S123" s="15" t="s">
        <v>701</v>
      </c>
    </row>
    <row r="124" customFormat="false" ht="30" hidden="false" customHeight="true" outlineLevel="0" collapsed="false">
      <c r="A124" s="12" t="n">
        <v>123</v>
      </c>
      <c r="B124" s="7" t="s">
        <v>126</v>
      </c>
      <c r="C124" s="7" t="s">
        <v>542</v>
      </c>
      <c r="D124" s="7" t="s">
        <v>702</v>
      </c>
      <c r="E124" s="7" t="s">
        <v>703</v>
      </c>
      <c r="F124" s="7" t="s">
        <v>21</v>
      </c>
      <c r="G124" s="12" t="n">
        <v>2</v>
      </c>
      <c r="H124" s="7" t="s">
        <v>25</v>
      </c>
      <c r="I124" s="12" t="n">
        <v>4</v>
      </c>
      <c r="J124" s="7" t="s">
        <v>34</v>
      </c>
      <c r="K124" s="12" t="n">
        <v>2</v>
      </c>
      <c r="L124" s="7" t="s">
        <v>39</v>
      </c>
      <c r="M124" s="12" t="n">
        <v>3</v>
      </c>
      <c r="N124" s="7" t="s">
        <v>45</v>
      </c>
      <c r="O124" s="12" t="n">
        <v>4</v>
      </c>
      <c r="P124" s="13" t="n">
        <f aca="false">ROUND(G124*0.25+I124*0.25+K124*0.15+M124*0.15+O124*0.2,2)</f>
        <v>3.05</v>
      </c>
      <c r="Q124" s="12" t="str">
        <f aca="false">IF(P124&gt;=4,"P1 立即启动",IF(P124&gt;=3.6,"P2 半年内推进",IF(P124&gt;=3.2,"P3 储备观察","P4 暂缓")))</f>
        <v>P4 暂缓</v>
      </c>
      <c r="R124" s="7" t="s">
        <v>704</v>
      </c>
      <c r="S124" s="7" t="s">
        <v>705</v>
      </c>
    </row>
    <row r="125" customFormat="false" ht="30" hidden="false" customHeight="true" outlineLevel="0" collapsed="false">
      <c r="A125" s="14" t="n">
        <v>124</v>
      </c>
      <c r="B125" s="15" t="s">
        <v>138</v>
      </c>
      <c r="C125" s="15" t="s">
        <v>706</v>
      </c>
      <c r="D125" s="15" t="s">
        <v>707</v>
      </c>
      <c r="E125" s="15" t="s">
        <v>708</v>
      </c>
      <c r="F125" s="15" t="s">
        <v>21</v>
      </c>
      <c r="G125" s="14" t="n">
        <v>2</v>
      </c>
      <c r="H125" s="15" t="s">
        <v>26</v>
      </c>
      <c r="I125" s="14" t="n">
        <v>3</v>
      </c>
      <c r="J125" s="15" t="s">
        <v>34</v>
      </c>
      <c r="K125" s="14" t="n">
        <v>2</v>
      </c>
      <c r="L125" s="15" t="s">
        <v>38</v>
      </c>
      <c r="M125" s="14" t="n">
        <v>4</v>
      </c>
      <c r="N125" s="15" t="s">
        <v>45</v>
      </c>
      <c r="O125" s="14" t="n">
        <v>4</v>
      </c>
      <c r="P125" s="16" t="n">
        <f aca="false">ROUND(G125*0.25+I125*0.25+K125*0.15+M125*0.15+O125*0.2,2)</f>
        <v>2.95</v>
      </c>
      <c r="Q125" s="14" t="str">
        <f aca="false">IF(P125&gt;=4,"P1 立即启动",IF(P125&gt;=3.6,"P2 半年内推进",IF(P125&gt;=3.2,"P3 储备观察","P4 暂缓")))</f>
        <v>P4 暂缓</v>
      </c>
      <c r="R125" s="15" t="s">
        <v>709</v>
      </c>
      <c r="S125" s="15" t="s">
        <v>710</v>
      </c>
    </row>
    <row r="126" customFormat="false" ht="30" hidden="false" customHeight="true" outlineLevel="0" collapsed="false">
      <c r="A126" s="12" t="n">
        <v>125</v>
      </c>
      <c r="B126" s="7" t="s">
        <v>138</v>
      </c>
      <c r="C126" s="7" t="s">
        <v>711</v>
      </c>
      <c r="D126" s="7" t="s">
        <v>712</v>
      </c>
      <c r="E126" s="7" t="s">
        <v>713</v>
      </c>
      <c r="F126" s="7" t="s">
        <v>21</v>
      </c>
      <c r="G126" s="12" t="n">
        <v>2</v>
      </c>
      <c r="H126" s="7" t="s">
        <v>26</v>
      </c>
      <c r="I126" s="12" t="n">
        <v>3</v>
      </c>
      <c r="J126" s="7" t="s">
        <v>34</v>
      </c>
      <c r="K126" s="12" t="n">
        <v>2</v>
      </c>
      <c r="L126" s="7" t="s">
        <v>38</v>
      </c>
      <c r="M126" s="12" t="n">
        <v>4</v>
      </c>
      <c r="N126" s="7" t="s">
        <v>45</v>
      </c>
      <c r="O126" s="12" t="n">
        <v>4</v>
      </c>
      <c r="P126" s="13" t="n">
        <f aca="false">ROUND(G126*0.25+I126*0.25+K126*0.15+M126*0.15+O126*0.2,2)</f>
        <v>2.95</v>
      </c>
      <c r="Q126" s="12" t="str">
        <f aca="false">IF(P126&gt;=4,"P1 立即启动",IF(P126&gt;=3.6,"P2 半年内推进",IF(P126&gt;=3.2,"P3 储备观察","P4 暂缓")))</f>
        <v>P4 暂缓</v>
      </c>
      <c r="R126" s="7" t="s">
        <v>714</v>
      </c>
      <c r="S126" s="7" t="s">
        <v>715</v>
      </c>
    </row>
    <row r="127" customFormat="false" ht="30" hidden="false" customHeight="true" outlineLevel="0" collapsed="false">
      <c r="A127" s="14" t="n">
        <v>126</v>
      </c>
      <c r="B127" s="15" t="s">
        <v>411</v>
      </c>
      <c r="C127" s="15" t="s">
        <v>716</v>
      </c>
      <c r="D127" s="15" t="s">
        <v>717</v>
      </c>
      <c r="E127" s="15" t="s">
        <v>718</v>
      </c>
      <c r="F127" s="15" t="s">
        <v>22</v>
      </c>
      <c r="G127" s="14" t="n">
        <v>1</v>
      </c>
      <c r="H127" s="15" t="s">
        <v>25</v>
      </c>
      <c r="I127" s="14" t="n">
        <v>4</v>
      </c>
      <c r="J127" s="15" t="s">
        <v>34</v>
      </c>
      <c r="K127" s="14" t="n">
        <v>2</v>
      </c>
      <c r="L127" s="15" t="s">
        <v>38</v>
      </c>
      <c r="M127" s="14" t="n">
        <v>4</v>
      </c>
      <c r="N127" s="15" t="s">
        <v>45</v>
      </c>
      <c r="O127" s="14" t="n">
        <v>4</v>
      </c>
      <c r="P127" s="16" t="n">
        <f aca="false">ROUND(G127*0.25+I127*0.25+K127*0.15+M127*0.15+O127*0.2,2)</f>
        <v>2.95</v>
      </c>
      <c r="Q127" s="14" t="str">
        <f aca="false">IF(P127&gt;=4,"P1 立即启动",IF(P127&gt;=3.6,"P2 半年内推进",IF(P127&gt;=3.2,"P3 储备观察","P4 暂缓")))</f>
        <v>P4 暂缓</v>
      </c>
      <c r="R127" s="17" t="s">
        <v>719</v>
      </c>
      <c r="S127" s="15" t="s">
        <v>720</v>
      </c>
    </row>
    <row r="128" customFormat="false" ht="30" hidden="false" customHeight="true" outlineLevel="0" collapsed="false">
      <c r="A128" s="12" t="n">
        <v>127</v>
      </c>
      <c r="B128" s="7" t="s">
        <v>426</v>
      </c>
      <c r="C128" s="7" t="s">
        <v>721</v>
      </c>
      <c r="D128" s="7" t="s">
        <v>722</v>
      </c>
      <c r="E128" s="7" t="s">
        <v>723</v>
      </c>
      <c r="F128" s="7" t="s">
        <v>21</v>
      </c>
      <c r="G128" s="12" t="n">
        <v>2</v>
      </c>
      <c r="H128" s="7" t="s">
        <v>26</v>
      </c>
      <c r="I128" s="12" t="n">
        <v>3</v>
      </c>
      <c r="J128" s="7" t="s">
        <v>34</v>
      </c>
      <c r="K128" s="12" t="n">
        <v>2</v>
      </c>
      <c r="L128" s="7" t="s">
        <v>38</v>
      </c>
      <c r="M128" s="12" t="n">
        <v>4</v>
      </c>
      <c r="N128" s="7" t="s">
        <v>45</v>
      </c>
      <c r="O128" s="12" t="n">
        <v>4</v>
      </c>
      <c r="P128" s="13" t="n">
        <f aca="false">ROUND(G128*0.25+I128*0.25+K128*0.15+M128*0.15+O128*0.2,2)</f>
        <v>2.95</v>
      </c>
      <c r="Q128" s="12" t="str">
        <f aca="false">IF(P128&gt;=4,"P1 立即启动",IF(P128&gt;=3.6,"P2 半年内推进",IF(P128&gt;=3.2,"P3 储备观察","P4 暂缓")))</f>
        <v>P4 暂缓</v>
      </c>
      <c r="R128" s="7" t="s">
        <v>724</v>
      </c>
      <c r="S128" s="7" t="s">
        <v>725</v>
      </c>
    </row>
    <row r="129" customFormat="false" ht="30" hidden="false" customHeight="true" outlineLevel="0" collapsed="false">
      <c r="A129" s="14" t="n">
        <v>128</v>
      </c>
      <c r="B129" s="15" t="s">
        <v>621</v>
      </c>
      <c r="C129" s="15" t="s">
        <v>726</v>
      </c>
      <c r="D129" s="15" t="s">
        <v>727</v>
      </c>
      <c r="E129" s="15" t="s">
        <v>728</v>
      </c>
      <c r="F129" s="15" t="s">
        <v>19</v>
      </c>
      <c r="G129" s="14" t="n">
        <v>4</v>
      </c>
      <c r="H129" s="15" t="s">
        <v>26</v>
      </c>
      <c r="I129" s="14" t="n">
        <v>3</v>
      </c>
      <c r="J129" s="15" t="s">
        <v>35</v>
      </c>
      <c r="K129" s="14" t="n">
        <v>1</v>
      </c>
      <c r="L129" s="15" t="s">
        <v>39</v>
      </c>
      <c r="M129" s="14" t="n">
        <v>3</v>
      </c>
      <c r="N129" s="15" t="s">
        <v>46</v>
      </c>
      <c r="O129" s="14" t="n">
        <v>3</v>
      </c>
      <c r="P129" s="16" t="n">
        <f aca="false">ROUND(G129*0.25+I129*0.25+K129*0.15+M129*0.15+O129*0.2,2)</f>
        <v>2.95</v>
      </c>
      <c r="Q129" s="14" t="str">
        <f aca="false">IF(P129&gt;=4,"P1 立即启动",IF(P129&gt;=3.6,"P2 半年内推进",IF(P129&gt;=3.2,"P3 储备观察","P4 暂缓")))</f>
        <v>P4 暂缓</v>
      </c>
      <c r="R129" s="15" t="s">
        <v>729</v>
      </c>
      <c r="S129" s="15" t="s">
        <v>730</v>
      </c>
    </row>
    <row r="130" customFormat="false" ht="30" hidden="false" customHeight="true" outlineLevel="0" collapsed="false">
      <c r="A130" s="12" t="n">
        <v>129</v>
      </c>
      <c r="B130" s="7" t="s">
        <v>94</v>
      </c>
      <c r="C130" s="7" t="s">
        <v>731</v>
      </c>
      <c r="D130" s="7" t="s">
        <v>732</v>
      </c>
      <c r="E130" s="7" t="s">
        <v>733</v>
      </c>
      <c r="F130" s="7" t="s">
        <v>19</v>
      </c>
      <c r="G130" s="12" t="n">
        <v>4</v>
      </c>
      <c r="H130" s="7" t="s">
        <v>26</v>
      </c>
      <c r="I130" s="12" t="n">
        <v>3</v>
      </c>
      <c r="J130" s="7" t="s">
        <v>34</v>
      </c>
      <c r="K130" s="12" t="n">
        <v>2</v>
      </c>
      <c r="L130" s="7" t="s">
        <v>40</v>
      </c>
      <c r="M130" s="12" t="n">
        <v>2</v>
      </c>
      <c r="N130" s="7" t="s">
        <v>46</v>
      </c>
      <c r="O130" s="12" t="n">
        <v>3</v>
      </c>
      <c r="P130" s="13" t="n">
        <f aca="false">ROUND(G130*0.25+I130*0.25+K130*0.15+M130*0.15+O130*0.2,2)</f>
        <v>2.95</v>
      </c>
      <c r="Q130" s="12" t="str">
        <f aca="false">IF(P130&gt;=4,"P1 立即启动",IF(P130&gt;=3.6,"P2 半年内推进",IF(P130&gt;=3.2,"P3 储备观察","P4 暂缓")))</f>
        <v>P4 暂缓</v>
      </c>
      <c r="R130" s="7" t="s">
        <v>734</v>
      </c>
      <c r="S130" s="7" t="s">
        <v>735</v>
      </c>
    </row>
    <row r="131" customFormat="false" ht="30" hidden="false" customHeight="true" outlineLevel="0" collapsed="false">
      <c r="A131" s="14" t="n">
        <v>130</v>
      </c>
      <c r="B131" s="15" t="s">
        <v>163</v>
      </c>
      <c r="C131" s="15" t="s">
        <v>344</v>
      </c>
      <c r="D131" s="15" t="s">
        <v>736</v>
      </c>
      <c r="E131" s="15" t="s">
        <v>737</v>
      </c>
      <c r="F131" s="15" t="s">
        <v>19</v>
      </c>
      <c r="G131" s="14" t="n">
        <v>4</v>
      </c>
      <c r="H131" s="15" t="s">
        <v>26</v>
      </c>
      <c r="I131" s="14" t="n">
        <v>3</v>
      </c>
      <c r="J131" s="15" t="s">
        <v>34</v>
      </c>
      <c r="K131" s="14" t="n">
        <v>2</v>
      </c>
      <c r="L131" s="15" t="s">
        <v>40</v>
      </c>
      <c r="M131" s="14" t="n">
        <v>2</v>
      </c>
      <c r="N131" s="15" t="s">
        <v>46</v>
      </c>
      <c r="O131" s="14" t="n">
        <v>3</v>
      </c>
      <c r="P131" s="16" t="n">
        <f aca="false">ROUND(G131*0.25+I131*0.25+K131*0.15+M131*0.15+O131*0.2,2)</f>
        <v>2.95</v>
      </c>
      <c r="Q131" s="14" t="str">
        <f aca="false">IF(P131&gt;=4,"P1 立即启动",IF(P131&gt;=3.6,"P2 半年内推进",IF(P131&gt;=3.2,"P3 储备观察","P4 暂缓")))</f>
        <v>P4 暂缓</v>
      </c>
      <c r="R131" s="15" t="s">
        <v>738</v>
      </c>
      <c r="S131" s="15" t="s">
        <v>739</v>
      </c>
    </row>
    <row r="132" customFormat="false" ht="30" hidden="false" customHeight="true" outlineLevel="0" collapsed="false">
      <c r="A132" s="12" t="n">
        <v>131</v>
      </c>
      <c r="B132" s="7" t="s">
        <v>256</v>
      </c>
      <c r="C132" s="7" t="s">
        <v>360</v>
      </c>
      <c r="D132" s="7" t="s">
        <v>740</v>
      </c>
      <c r="E132" s="7" t="s">
        <v>741</v>
      </c>
      <c r="F132" s="7" t="s">
        <v>20</v>
      </c>
      <c r="G132" s="12" t="n">
        <v>3</v>
      </c>
      <c r="H132" s="7" t="s">
        <v>25</v>
      </c>
      <c r="I132" s="12" t="n">
        <v>4</v>
      </c>
      <c r="J132" s="7" t="s">
        <v>35</v>
      </c>
      <c r="K132" s="12" t="n">
        <v>1</v>
      </c>
      <c r="L132" s="7" t="s">
        <v>39</v>
      </c>
      <c r="M132" s="12" t="n">
        <v>3</v>
      </c>
      <c r="N132" s="7" t="s">
        <v>46</v>
      </c>
      <c r="O132" s="12" t="n">
        <v>3</v>
      </c>
      <c r="P132" s="13" t="n">
        <f aca="false">ROUND(G132*0.25+I132*0.25+K132*0.15+M132*0.15+O132*0.2,2)</f>
        <v>2.95</v>
      </c>
      <c r="Q132" s="12" t="str">
        <f aca="false">IF(P132&gt;=4,"P1 立即启动",IF(P132&gt;=3.6,"P2 半年内推进",IF(P132&gt;=3.2,"P3 储备观察","P4 暂缓")))</f>
        <v>P4 暂缓</v>
      </c>
      <c r="R132" s="7" t="s">
        <v>742</v>
      </c>
      <c r="S132" s="7" t="s">
        <v>743</v>
      </c>
    </row>
    <row r="133" customFormat="false" ht="30" hidden="false" customHeight="true" outlineLevel="0" collapsed="false">
      <c r="A133" s="14" t="n">
        <v>132</v>
      </c>
      <c r="B133" s="15" t="s">
        <v>365</v>
      </c>
      <c r="C133" s="15" t="s">
        <v>662</v>
      </c>
      <c r="D133" s="15" t="s">
        <v>744</v>
      </c>
      <c r="E133" s="15" t="s">
        <v>745</v>
      </c>
      <c r="F133" s="15" t="s">
        <v>20</v>
      </c>
      <c r="G133" s="14" t="n">
        <v>3</v>
      </c>
      <c r="H133" s="15" t="s">
        <v>25</v>
      </c>
      <c r="I133" s="14" t="n">
        <v>4</v>
      </c>
      <c r="J133" s="15" t="s">
        <v>34</v>
      </c>
      <c r="K133" s="14" t="n">
        <v>2</v>
      </c>
      <c r="L133" s="15" t="s">
        <v>40</v>
      </c>
      <c r="M133" s="14" t="n">
        <v>2</v>
      </c>
      <c r="N133" s="15" t="s">
        <v>46</v>
      </c>
      <c r="O133" s="14" t="n">
        <v>3</v>
      </c>
      <c r="P133" s="16" t="n">
        <f aca="false">ROUND(G133*0.25+I133*0.25+K133*0.15+M133*0.15+O133*0.2,2)</f>
        <v>2.95</v>
      </c>
      <c r="Q133" s="14" t="str">
        <f aca="false">IF(P133&gt;=4,"P1 立即启动",IF(P133&gt;=3.6,"P2 半年内推进",IF(P133&gt;=3.2,"P3 储备观察","P4 暂缓")))</f>
        <v>P4 暂缓</v>
      </c>
      <c r="R133" s="15" t="s">
        <v>746</v>
      </c>
      <c r="S133" s="15" t="s">
        <v>747</v>
      </c>
    </row>
    <row r="134" customFormat="false" ht="30" hidden="false" customHeight="true" outlineLevel="0" collapsed="false">
      <c r="A134" s="12" t="n">
        <v>133</v>
      </c>
      <c r="B134" s="7" t="s">
        <v>365</v>
      </c>
      <c r="C134" s="7" t="s">
        <v>461</v>
      </c>
      <c r="D134" s="7" t="s">
        <v>462</v>
      </c>
      <c r="E134" s="7" t="s">
        <v>748</v>
      </c>
      <c r="F134" s="7" t="s">
        <v>21</v>
      </c>
      <c r="G134" s="12" t="n">
        <v>2</v>
      </c>
      <c r="H134" s="7" t="s">
        <v>24</v>
      </c>
      <c r="I134" s="12" t="n">
        <v>5</v>
      </c>
      <c r="J134" s="7" t="s">
        <v>35</v>
      </c>
      <c r="K134" s="12" t="n">
        <v>1</v>
      </c>
      <c r="L134" s="7" t="s">
        <v>39</v>
      </c>
      <c r="M134" s="12" t="n">
        <v>3</v>
      </c>
      <c r="N134" s="7" t="s">
        <v>46</v>
      </c>
      <c r="O134" s="12" t="n">
        <v>3</v>
      </c>
      <c r="P134" s="13" t="n">
        <f aca="false">ROUND(G134*0.25+I134*0.25+K134*0.15+M134*0.15+O134*0.2,2)</f>
        <v>2.95</v>
      </c>
      <c r="Q134" s="12" t="str">
        <f aca="false">IF(P134&gt;=4,"P1 立即启动",IF(P134&gt;=3.6,"P2 半年内推进",IF(P134&gt;=3.2,"P3 储备观察","P4 暂缓")))</f>
        <v>P4 暂缓</v>
      </c>
      <c r="R134" s="7" t="s">
        <v>749</v>
      </c>
      <c r="S134" s="7" t="s">
        <v>750</v>
      </c>
    </row>
    <row r="135" customFormat="false" ht="30" hidden="false" customHeight="true" outlineLevel="0" collapsed="false">
      <c r="A135" s="14" t="n">
        <v>134</v>
      </c>
      <c r="B135" s="15" t="s">
        <v>411</v>
      </c>
      <c r="C135" s="15" t="s">
        <v>751</v>
      </c>
      <c r="D135" s="15" t="s">
        <v>752</v>
      </c>
      <c r="E135" s="15" t="s">
        <v>753</v>
      </c>
      <c r="F135" s="15" t="s">
        <v>20</v>
      </c>
      <c r="G135" s="14" t="n">
        <v>3</v>
      </c>
      <c r="H135" s="15" t="s">
        <v>26</v>
      </c>
      <c r="I135" s="14" t="n">
        <v>3</v>
      </c>
      <c r="J135" s="15" t="s">
        <v>34</v>
      </c>
      <c r="K135" s="14" t="n">
        <v>2</v>
      </c>
      <c r="L135" s="15" t="s">
        <v>40</v>
      </c>
      <c r="M135" s="14" t="n">
        <v>2</v>
      </c>
      <c r="N135" s="15" t="s">
        <v>45</v>
      </c>
      <c r="O135" s="14" t="n">
        <v>4</v>
      </c>
      <c r="P135" s="16" t="n">
        <f aca="false">ROUND(G135*0.25+I135*0.25+K135*0.15+M135*0.15+O135*0.2,2)</f>
        <v>2.9</v>
      </c>
      <c r="Q135" s="14" t="str">
        <f aca="false">IF(P135&gt;=4,"P1 立即启动",IF(P135&gt;=3.6,"P2 半年内推进",IF(P135&gt;=3.2,"P3 储备观察","P4 暂缓")))</f>
        <v>P4 暂缓</v>
      </c>
      <c r="R135" s="15" t="s">
        <v>754</v>
      </c>
      <c r="S135" s="15" t="s">
        <v>755</v>
      </c>
    </row>
    <row r="136" customFormat="false" ht="30" hidden="false" customHeight="true" outlineLevel="0" collapsed="false">
      <c r="A136" s="12" t="n">
        <v>135</v>
      </c>
      <c r="B136" s="7" t="s">
        <v>138</v>
      </c>
      <c r="C136" s="7" t="s">
        <v>756</v>
      </c>
      <c r="D136" s="7" t="s">
        <v>757</v>
      </c>
      <c r="E136" s="7" t="s">
        <v>758</v>
      </c>
      <c r="F136" s="7" t="s">
        <v>21</v>
      </c>
      <c r="G136" s="12" t="n">
        <v>2</v>
      </c>
      <c r="H136" s="7" t="s">
        <v>27</v>
      </c>
      <c r="I136" s="12" t="n">
        <v>2</v>
      </c>
      <c r="J136" s="7" t="s">
        <v>34</v>
      </c>
      <c r="K136" s="12" t="n">
        <v>2</v>
      </c>
      <c r="L136" s="7" t="s">
        <v>38</v>
      </c>
      <c r="M136" s="12" t="n">
        <v>4</v>
      </c>
      <c r="N136" s="7" t="s">
        <v>44</v>
      </c>
      <c r="O136" s="12" t="n">
        <v>5</v>
      </c>
      <c r="P136" s="13" t="n">
        <f aca="false">ROUND(G136*0.25+I136*0.25+K136*0.15+M136*0.15+O136*0.2,2)</f>
        <v>2.9</v>
      </c>
      <c r="Q136" s="12" t="str">
        <f aca="false">IF(P136&gt;=4,"P1 立即启动",IF(P136&gt;=3.6,"P2 半年内推进",IF(P136&gt;=3.2,"P3 储备观察","P4 暂缓")))</f>
        <v>P4 暂缓</v>
      </c>
      <c r="R136" s="7" t="s">
        <v>759</v>
      </c>
      <c r="S136" s="7" t="s">
        <v>760</v>
      </c>
    </row>
    <row r="137" customFormat="false" ht="30" hidden="false" customHeight="true" outlineLevel="0" collapsed="false">
      <c r="A137" s="14" t="n">
        <v>136</v>
      </c>
      <c r="B137" s="15" t="s">
        <v>761</v>
      </c>
      <c r="C137" s="15" t="s">
        <v>762</v>
      </c>
      <c r="D137" s="15" t="s">
        <v>763</v>
      </c>
      <c r="E137" s="15" t="s">
        <v>764</v>
      </c>
      <c r="F137" s="15" t="s">
        <v>22</v>
      </c>
      <c r="G137" s="14" t="n">
        <v>1</v>
      </c>
      <c r="H137" s="15" t="s">
        <v>26</v>
      </c>
      <c r="I137" s="14" t="n">
        <v>3</v>
      </c>
      <c r="J137" s="15" t="s">
        <v>34</v>
      </c>
      <c r="K137" s="14" t="n">
        <v>2</v>
      </c>
      <c r="L137" s="15" t="s">
        <v>38</v>
      </c>
      <c r="M137" s="14" t="n">
        <v>4</v>
      </c>
      <c r="N137" s="15" t="s">
        <v>44</v>
      </c>
      <c r="O137" s="14" t="n">
        <v>5</v>
      </c>
      <c r="P137" s="16" t="n">
        <f aca="false">ROUND(G137*0.25+I137*0.25+K137*0.15+M137*0.15+O137*0.2,2)</f>
        <v>2.9</v>
      </c>
      <c r="Q137" s="14" t="str">
        <f aca="false">IF(P137&gt;=4,"P1 立即启动",IF(P137&gt;=3.6,"P2 半年内推进",IF(P137&gt;=3.2,"P3 储备观察","P4 暂缓")))</f>
        <v>P4 暂缓</v>
      </c>
      <c r="R137" s="15" t="s">
        <v>765</v>
      </c>
      <c r="S137" s="15" t="s">
        <v>766</v>
      </c>
    </row>
    <row r="138" customFormat="false" ht="30" hidden="false" customHeight="true" outlineLevel="0" collapsed="false">
      <c r="A138" s="12" t="n">
        <v>137</v>
      </c>
      <c r="B138" s="7" t="s">
        <v>580</v>
      </c>
      <c r="C138" s="7" t="s">
        <v>767</v>
      </c>
      <c r="D138" s="7" t="s">
        <v>768</v>
      </c>
      <c r="E138" s="7" t="s">
        <v>769</v>
      </c>
      <c r="F138" s="7" t="s">
        <v>21</v>
      </c>
      <c r="G138" s="12" t="n">
        <v>2</v>
      </c>
      <c r="H138" s="7" t="s">
        <v>26</v>
      </c>
      <c r="I138" s="12" t="n">
        <v>3</v>
      </c>
      <c r="J138" s="7" t="s">
        <v>33</v>
      </c>
      <c r="K138" s="12" t="n">
        <v>3</v>
      </c>
      <c r="L138" s="7" t="s">
        <v>38</v>
      </c>
      <c r="M138" s="12" t="n">
        <v>4</v>
      </c>
      <c r="N138" s="7" t="s">
        <v>46</v>
      </c>
      <c r="O138" s="12" t="n">
        <v>3</v>
      </c>
      <c r="P138" s="13" t="n">
        <f aca="false">ROUND(G138*0.25+I138*0.25+K138*0.15+M138*0.15+O138*0.2,2)</f>
        <v>2.9</v>
      </c>
      <c r="Q138" s="12" t="str">
        <f aca="false">IF(P138&gt;=4,"P1 立即启动",IF(P138&gt;=3.6,"P2 半年内推进",IF(P138&gt;=3.2,"P3 储备观察","P4 暂缓")))</f>
        <v>P4 暂缓</v>
      </c>
      <c r="R138" s="7" t="s">
        <v>770</v>
      </c>
      <c r="S138" s="7" t="s">
        <v>771</v>
      </c>
    </row>
    <row r="139" customFormat="false" ht="30" hidden="false" customHeight="true" outlineLevel="0" collapsed="false">
      <c r="A139" s="14" t="n">
        <v>138</v>
      </c>
      <c r="B139" s="15" t="s">
        <v>772</v>
      </c>
      <c r="C139" s="15" t="s">
        <v>773</v>
      </c>
      <c r="D139" s="15" t="s">
        <v>774</v>
      </c>
      <c r="E139" s="15" t="s">
        <v>775</v>
      </c>
      <c r="F139" s="15" t="s">
        <v>22</v>
      </c>
      <c r="G139" s="14" t="n">
        <v>1</v>
      </c>
      <c r="H139" s="15" t="s">
        <v>26</v>
      </c>
      <c r="I139" s="14" t="n">
        <v>3</v>
      </c>
      <c r="J139" s="15" t="s">
        <v>34</v>
      </c>
      <c r="K139" s="14" t="n">
        <v>2</v>
      </c>
      <c r="L139" s="15" t="s">
        <v>38</v>
      </c>
      <c r="M139" s="14" t="n">
        <v>4</v>
      </c>
      <c r="N139" s="15" t="s">
        <v>44</v>
      </c>
      <c r="O139" s="14" t="n">
        <v>5</v>
      </c>
      <c r="P139" s="16" t="n">
        <f aca="false">ROUND(G139*0.25+I139*0.25+K139*0.15+M139*0.15+O139*0.2,2)</f>
        <v>2.9</v>
      </c>
      <c r="Q139" s="14" t="str">
        <f aca="false">IF(P139&gt;=4,"P1 立即启动",IF(P139&gt;=3.6,"P2 半年内推进",IF(P139&gt;=3.2,"P3 储备观察","P4 暂缓")))</f>
        <v>P4 暂缓</v>
      </c>
      <c r="R139" s="15" t="s">
        <v>635</v>
      </c>
      <c r="S139" s="15" t="s">
        <v>766</v>
      </c>
    </row>
    <row r="140" customFormat="false" ht="30" hidden="false" customHeight="true" outlineLevel="0" collapsed="false">
      <c r="A140" s="12" t="n">
        <v>139</v>
      </c>
      <c r="B140" s="7" t="s">
        <v>386</v>
      </c>
      <c r="C140" s="7" t="s">
        <v>776</v>
      </c>
      <c r="D140" s="7" t="s">
        <v>777</v>
      </c>
      <c r="E140" s="7" t="s">
        <v>778</v>
      </c>
      <c r="F140" s="7" t="s">
        <v>19</v>
      </c>
      <c r="G140" s="12" t="n">
        <v>4</v>
      </c>
      <c r="H140" s="7" t="s">
        <v>26</v>
      </c>
      <c r="I140" s="12" t="n">
        <v>3</v>
      </c>
      <c r="J140" s="7" t="s">
        <v>34</v>
      </c>
      <c r="K140" s="12" t="n">
        <v>2</v>
      </c>
      <c r="L140" s="7" t="s">
        <v>39</v>
      </c>
      <c r="M140" s="12" t="n">
        <v>3</v>
      </c>
      <c r="N140" s="7" t="s">
        <v>47</v>
      </c>
      <c r="O140" s="12" t="n">
        <v>2</v>
      </c>
      <c r="P140" s="13" t="n">
        <f aca="false">ROUND(G140*0.25+I140*0.25+K140*0.15+M140*0.15+O140*0.2,2)</f>
        <v>2.9</v>
      </c>
      <c r="Q140" s="12" t="str">
        <f aca="false">IF(P140&gt;=4,"P1 立即启动",IF(P140&gt;=3.6,"P2 半年内推进",IF(P140&gt;=3.2,"P3 储备观察","P4 暂缓")))</f>
        <v>P4 暂缓</v>
      </c>
      <c r="R140" s="7" t="s">
        <v>779</v>
      </c>
      <c r="S140" s="7" t="s">
        <v>780</v>
      </c>
    </row>
    <row r="141" customFormat="false" ht="30" hidden="false" customHeight="true" outlineLevel="0" collapsed="false">
      <c r="A141" s="14" t="n">
        <v>140</v>
      </c>
      <c r="B141" s="15" t="s">
        <v>163</v>
      </c>
      <c r="C141" s="15" t="s">
        <v>781</v>
      </c>
      <c r="D141" s="15" t="s">
        <v>782</v>
      </c>
      <c r="E141" s="15" t="s">
        <v>783</v>
      </c>
      <c r="F141" s="15" t="s">
        <v>19</v>
      </c>
      <c r="G141" s="14" t="n">
        <v>4</v>
      </c>
      <c r="H141" s="15" t="s">
        <v>26</v>
      </c>
      <c r="I141" s="14" t="n">
        <v>3</v>
      </c>
      <c r="J141" s="15" t="s">
        <v>34</v>
      </c>
      <c r="K141" s="14" t="n">
        <v>2</v>
      </c>
      <c r="L141" s="15" t="s">
        <v>39</v>
      </c>
      <c r="M141" s="14" t="n">
        <v>3</v>
      </c>
      <c r="N141" s="15" t="s">
        <v>47</v>
      </c>
      <c r="O141" s="14" t="n">
        <v>2</v>
      </c>
      <c r="P141" s="16" t="n">
        <f aca="false">ROUND(G141*0.25+I141*0.25+K141*0.15+M141*0.15+O141*0.2,2)</f>
        <v>2.9</v>
      </c>
      <c r="Q141" s="14" t="str">
        <f aca="false">IF(P141&gt;=4,"P1 立即启动",IF(P141&gt;=3.6,"P2 半年内推进",IF(P141&gt;=3.2,"P3 储备观察","P4 暂缓")))</f>
        <v>P4 暂缓</v>
      </c>
      <c r="R141" s="15" t="s">
        <v>784</v>
      </c>
      <c r="S141" s="15" t="s">
        <v>785</v>
      </c>
    </row>
    <row r="142" customFormat="false" ht="30" hidden="false" customHeight="true" outlineLevel="0" collapsed="false">
      <c r="A142" s="12" t="n">
        <v>141</v>
      </c>
      <c r="B142" s="7" t="s">
        <v>126</v>
      </c>
      <c r="C142" s="7" t="s">
        <v>786</v>
      </c>
      <c r="D142" s="7" t="s">
        <v>787</v>
      </c>
      <c r="E142" s="7" t="s">
        <v>788</v>
      </c>
      <c r="F142" s="7" t="s">
        <v>20</v>
      </c>
      <c r="G142" s="12" t="n">
        <v>3</v>
      </c>
      <c r="H142" s="7" t="s">
        <v>26</v>
      </c>
      <c r="I142" s="12" t="n">
        <v>3</v>
      </c>
      <c r="J142" s="7" t="s">
        <v>34</v>
      </c>
      <c r="K142" s="12" t="n">
        <v>2</v>
      </c>
      <c r="L142" s="7" t="s">
        <v>39</v>
      </c>
      <c r="M142" s="12" t="n">
        <v>3</v>
      </c>
      <c r="N142" s="7" t="s">
        <v>46</v>
      </c>
      <c r="O142" s="12" t="n">
        <v>3</v>
      </c>
      <c r="P142" s="13" t="n">
        <f aca="false">ROUND(G142*0.25+I142*0.25+K142*0.15+M142*0.15+O142*0.2,2)</f>
        <v>2.85</v>
      </c>
      <c r="Q142" s="12" t="str">
        <f aca="false">IF(P142&gt;=4,"P1 立即启动",IF(P142&gt;=3.6,"P2 半年内推进",IF(P142&gt;=3.2,"P3 储备观察","P4 暂缓")))</f>
        <v>P4 暂缓</v>
      </c>
      <c r="R142" s="7" t="s">
        <v>789</v>
      </c>
      <c r="S142" s="7" t="s">
        <v>790</v>
      </c>
    </row>
    <row r="143" customFormat="false" ht="30" hidden="false" customHeight="true" outlineLevel="0" collapsed="false">
      <c r="A143" s="14" t="n">
        <v>142</v>
      </c>
      <c r="B143" s="15" t="s">
        <v>610</v>
      </c>
      <c r="C143" s="15" t="s">
        <v>226</v>
      </c>
      <c r="D143" s="15" t="s">
        <v>791</v>
      </c>
      <c r="E143" s="15" t="s">
        <v>792</v>
      </c>
      <c r="F143" s="15" t="s">
        <v>21</v>
      </c>
      <c r="G143" s="14" t="n">
        <v>2</v>
      </c>
      <c r="H143" s="15" t="s">
        <v>27</v>
      </c>
      <c r="I143" s="14" t="n">
        <v>2</v>
      </c>
      <c r="J143" s="15" t="s">
        <v>33</v>
      </c>
      <c r="K143" s="14" t="n">
        <v>3</v>
      </c>
      <c r="L143" s="15" t="s">
        <v>38</v>
      </c>
      <c r="M143" s="14" t="n">
        <v>4</v>
      </c>
      <c r="N143" s="15" t="s">
        <v>45</v>
      </c>
      <c r="O143" s="14" t="n">
        <v>4</v>
      </c>
      <c r="P143" s="16" t="n">
        <f aca="false">ROUND(G143*0.25+I143*0.25+K143*0.15+M143*0.15+O143*0.2,2)</f>
        <v>2.85</v>
      </c>
      <c r="Q143" s="14" t="str">
        <f aca="false">IF(P143&gt;=4,"P1 立即启动",IF(P143&gt;=3.6,"P2 半年内推进",IF(P143&gt;=3.2,"P3 储备观察","P4 暂缓")))</f>
        <v>P4 暂缓</v>
      </c>
      <c r="R143" s="15" t="s">
        <v>793</v>
      </c>
      <c r="S143" s="15" t="s">
        <v>794</v>
      </c>
    </row>
    <row r="144" customFormat="false" ht="30" hidden="false" customHeight="true" outlineLevel="0" collapsed="false">
      <c r="A144" s="12" t="n">
        <v>143</v>
      </c>
      <c r="B144" s="7" t="s">
        <v>610</v>
      </c>
      <c r="C144" s="7" t="s">
        <v>795</v>
      </c>
      <c r="D144" s="7" t="s">
        <v>796</v>
      </c>
      <c r="E144" s="7" t="s">
        <v>797</v>
      </c>
      <c r="F144" s="7" t="s">
        <v>21</v>
      </c>
      <c r="G144" s="12" t="n">
        <v>2</v>
      </c>
      <c r="H144" s="7" t="s">
        <v>27</v>
      </c>
      <c r="I144" s="12" t="n">
        <v>2</v>
      </c>
      <c r="J144" s="7" t="s">
        <v>33</v>
      </c>
      <c r="K144" s="12" t="n">
        <v>3</v>
      </c>
      <c r="L144" s="7" t="s">
        <v>38</v>
      </c>
      <c r="M144" s="12" t="n">
        <v>4</v>
      </c>
      <c r="N144" s="7" t="s">
        <v>45</v>
      </c>
      <c r="O144" s="12" t="n">
        <v>4</v>
      </c>
      <c r="P144" s="13" t="n">
        <f aca="false">ROUND(G144*0.25+I144*0.25+K144*0.15+M144*0.15+O144*0.2,2)</f>
        <v>2.85</v>
      </c>
      <c r="Q144" s="12" t="str">
        <f aca="false">IF(P144&gt;=4,"P1 立即启动",IF(P144&gt;=3.6,"P2 半年内推进",IF(P144&gt;=3.2,"P3 储备观察","P4 暂缓")))</f>
        <v>P4 暂缓</v>
      </c>
      <c r="R144" s="7" t="s">
        <v>798</v>
      </c>
      <c r="S144" s="7" t="s">
        <v>794</v>
      </c>
    </row>
    <row r="145" customFormat="false" ht="30" hidden="false" customHeight="true" outlineLevel="0" collapsed="false">
      <c r="A145" s="14" t="n">
        <v>144</v>
      </c>
      <c r="B145" s="15" t="s">
        <v>138</v>
      </c>
      <c r="C145" s="15" t="s">
        <v>799</v>
      </c>
      <c r="D145" s="15" t="s">
        <v>800</v>
      </c>
      <c r="E145" s="15" t="s">
        <v>801</v>
      </c>
      <c r="F145" s="15" t="s">
        <v>21</v>
      </c>
      <c r="G145" s="14" t="n">
        <v>2</v>
      </c>
      <c r="H145" s="15" t="s">
        <v>26</v>
      </c>
      <c r="I145" s="14" t="n">
        <v>3</v>
      </c>
      <c r="J145" s="15" t="s">
        <v>34</v>
      </c>
      <c r="K145" s="14" t="n">
        <v>2</v>
      </c>
      <c r="L145" s="15" t="s">
        <v>39</v>
      </c>
      <c r="M145" s="14" t="n">
        <v>3</v>
      </c>
      <c r="N145" s="15" t="s">
        <v>45</v>
      </c>
      <c r="O145" s="14" t="n">
        <v>4</v>
      </c>
      <c r="P145" s="16" t="n">
        <f aca="false">ROUND(G145*0.25+I145*0.25+K145*0.15+M145*0.15+O145*0.2,2)</f>
        <v>2.8</v>
      </c>
      <c r="Q145" s="14" t="str">
        <f aca="false">IF(P145&gt;=4,"P1 立即启动",IF(P145&gt;=3.6,"P2 半年内推进",IF(P145&gt;=3.2,"P3 储备观察","P4 暂缓")))</f>
        <v>P4 暂缓</v>
      </c>
      <c r="R145" s="15" t="s">
        <v>802</v>
      </c>
      <c r="S145" s="15" t="s">
        <v>803</v>
      </c>
    </row>
    <row r="146" customFormat="false" ht="30" hidden="false" customHeight="true" outlineLevel="0" collapsed="false">
      <c r="A146" s="12" t="n">
        <v>145</v>
      </c>
      <c r="B146" s="7" t="s">
        <v>138</v>
      </c>
      <c r="C146" s="7" t="s">
        <v>762</v>
      </c>
      <c r="D146" s="7" t="s">
        <v>804</v>
      </c>
      <c r="E146" s="7" t="s">
        <v>805</v>
      </c>
      <c r="F146" s="7" t="s">
        <v>20</v>
      </c>
      <c r="G146" s="12" t="n">
        <v>3</v>
      </c>
      <c r="H146" s="7" t="s">
        <v>27</v>
      </c>
      <c r="I146" s="12" t="n">
        <v>2</v>
      </c>
      <c r="J146" s="7" t="s">
        <v>34</v>
      </c>
      <c r="K146" s="12" t="n">
        <v>2</v>
      </c>
      <c r="L146" s="7" t="s">
        <v>39</v>
      </c>
      <c r="M146" s="12" t="n">
        <v>3</v>
      </c>
      <c r="N146" s="7" t="s">
        <v>45</v>
      </c>
      <c r="O146" s="12" t="n">
        <v>4</v>
      </c>
      <c r="P146" s="13" t="n">
        <f aca="false">ROUND(G146*0.25+I146*0.25+K146*0.15+M146*0.15+O146*0.2,2)</f>
        <v>2.8</v>
      </c>
      <c r="Q146" s="12" t="str">
        <f aca="false">IF(P146&gt;=4,"P1 立即启动",IF(P146&gt;=3.6,"P2 半年内推进",IF(P146&gt;=3.2,"P3 储备观察","P4 暂缓")))</f>
        <v>P4 暂缓</v>
      </c>
      <c r="R146" s="7" t="s">
        <v>806</v>
      </c>
      <c r="S146" s="7" t="s">
        <v>807</v>
      </c>
    </row>
    <row r="147" customFormat="false" ht="30" hidden="false" customHeight="true" outlineLevel="0" collapsed="false">
      <c r="A147" s="14" t="n">
        <v>146</v>
      </c>
      <c r="B147" s="15" t="s">
        <v>169</v>
      </c>
      <c r="C147" s="15" t="s">
        <v>808</v>
      </c>
      <c r="D147" s="15" t="s">
        <v>809</v>
      </c>
      <c r="E147" s="15" t="s">
        <v>810</v>
      </c>
      <c r="F147" s="15" t="s">
        <v>19</v>
      </c>
      <c r="G147" s="14" t="n">
        <v>4</v>
      </c>
      <c r="H147" s="15" t="s">
        <v>27</v>
      </c>
      <c r="I147" s="14" t="n">
        <v>2</v>
      </c>
      <c r="J147" s="15" t="s">
        <v>33</v>
      </c>
      <c r="K147" s="14" t="n">
        <v>3</v>
      </c>
      <c r="L147" s="15" t="s">
        <v>39</v>
      </c>
      <c r="M147" s="14" t="n">
        <v>3</v>
      </c>
      <c r="N147" s="15" t="s">
        <v>47</v>
      </c>
      <c r="O147" s="14" t="n">
        <v>2</v>
      </c>
      <c r="P147" s="16" t="n">
        <f aca="false">ROUND(G147*0.25+I147*0.25+K147*0.15+M147*0.15+O147*0.2,2)</f>
        <v>2.8</v>
      </c>
      <c r="Q147" s="14" t="str">
        <f aca="false">IF(P147&gt;=4,"P1 立即启动",IF(P147&gt;=3.6,"P2 半年内推进",IF(P147&gt;=3.2,"P3 储备观察","P4 暂缓")))</f>
        <v>P4 暂缓</v>
      </c>
      <c r="R147" s="15" t="s">
        <v>811</v>
      </c>
      <c r="S147" s="15" t="s">
        <v>812</v>
      </c>
    </row>
    <row r="148" customFormat="false" ht="30" hidden="false" customHeight="true" outlineLevel="0" collapsed="false">
      <c r="A148" s="12" t="n">
        <v>147</v>
      </c>
      <c r="B148" s="7" t="s">
        <v>272</v>
      </c>
      <c r="C148" s="7" t="s">
        <v>813</v>
      </c>
      <c r="D148" s="7" t="s">
        <v>814</v>
      </c>
      <c r="E148" s="7" t="s">
        <v>815</v>
      </c>
      <c r="F148" s="7" t="s">
        <v>21</v>
      </c>
      <c r="G148" s="12" t="n">
        <v>2</v>
      </c>
      <c r="H148" s="7" t="s">
        <v>26</v>
      </c>
      <c r="I148" s="12" t="n">
        <v>3</v>
      </c>
      <c r="J148" s="7" t="s">
        <v>34</v>
      </c>
      <c r="K148" s="12" t="n">
        <v>2</v>
      </c>
      <c r="L148" s="7" t="s">
        <v>39</v>
      </c>
      <c r="M148" s="12" t="n">
        <v>3</v>
      </c>
      <c r="N148" s="7" t="s">
        <v>45</v>
      </c>
      <c r="O148" s="12" t="n">
        <v>4</v>
      </c>
      <c r="P148" s="13" t="n">
        <f aca="false">ROUND(G148*0.25+I148*0.25+K148*0.15+M148*0.15+O148*0.2,2)</f>
        <v>2.8</v>
      </c>
      <c r="Q148" s="12" t="str">
        <f aca="false">IF(P148&gt;=4,"P1 立即启动",IF(P148&gt;=3.6,"P2 半年内推进",IF(P148&gt;=3.2,"P3 储备观察","P4 暂缓")))</f>
        <v>P4 暂缓</v>
      </c>
      <c r="R148" s="7" t="s">
        <v>816</v>
      </c>
      <c r="S148" s="7" t="s">
        <v>817</v>
      </c>
    </row>
    <row r="149" customFormat="false" ht="30" hidden="false" customHeight="true" outlineLevel="0" collapsed="false">
      <c r="A149" s="14" t="n">
        <v>148</v>
      </c>
      <c r="B149" s="15" t="s">
        <v>169</v>
      </c>
      <c r="C149" s="15" t="s">
        <v>818</v>
      </c>
      <c r="D149" s="15" t="s">
        <v>819</v>
      </c>
      <c r="E149" s="15" t="s">
        <v>820</v>
      </c>
      <c r="F149" s="15" t="s">
        <v>21</v>
      </c>
      <c r="G149" s="14" t="n">
        <v>2</v>
      </c>
      <c r="H149" s="15" t="s">
        <v>26</v>
      </c>
      <c r="I149" s="14" t="n">
        <v>3</v>
      </c>
      <c r="J149" s="15" t="s">
        <v>33</v>
      </c>
      <c r="K149" s="14" t="n">
        <v>3</v>
      </c>
      <c r="L149" s="15" t="s">
        <v>39</v>
      </c>
      <c r="M149" s="14" t="n">
        <v>3</v>
      </c>
      <c r="N149" s="15" t="s">
        <v>46</v>
      </c>
      <c r="O149" s="14" t="n">
        <v>3</v>
      </c>
      <c r="P149" s="16" t="n">
        <f aca="false">ROUND(G149*0.25+I149*0.25+K149*0.15+M149*0.15+O149*0.2,2)</f>
        <v>2.75</v>
      </c>
      <c r="Q149" s="14" t="str">
        <f aca="false">IF(P149&gt;=4,"P1 立即启动",IF(P149&gt;=3.6,"P2 半年内推进",IF(P149&gt;=3.2,"P3 储备观察","P4 暂缓")))</f>
        <v>P4 暂缓</v>
      </c>
      <c r="R149" s="15" t="s">
        <v>821</v>
      </c>
      <c r="S149" s="17" t="s">
        <v>822</v>
      </c>
    </row>
    <row r="150" customFormat="false" ht="30" hidden="false" customHeight="true" outlineLevel="0" collapsed="false">
      <c r="A150" s="12" t="n">
        <v>149</v>
      </c>
      <c r="B150" s="7" t="s">
        <v>169</v>
      </c>
      <c r="C150" s="7" t="s">
        <v>818</v>
      </c>
      <c r="D150" s="7" t="s">
        <v>823</v>
      </c>
      <c r="E150" s="7" t="s">
        <v>824</v>
      </c>
      <c r="F150" s="7" t="s">
        <v>20</v>
      </c>
      <c r="G150" s="12" t="n">
        <v>3</v>
      </c>
      <c r="H150" s="7" t="s">
        <v>27</v>
      </c>
      <c r="I150" s="12" t="n">
        <v>2</v>
      </c>
      <c r="J150" s="7" t="s">
        <v>33</v>
      </c>
      <c r="K150" s="12" t="n">
        <v>3</v>
      </c>
      <c r="L150" s="7" t="s">
        <v>39</v>
      </c>
      <c r="M150" s="12" t="n">
        <v>3</v>
      </c>
      <c r="N150" s="7" t="s">
        <v>46</v>
      </c>
      <c r="O150" s="12" t="n">
        <v>3</v>
      </c>
      <c r="P150" s="13" t="n">
        <f aca="false">ROUND(G150*0.25+I150*0.25+K150*0.15+M150*0.15+O150*0.2,2)</f>
        <v>2.75</v>
      </c>
      <c r="Q150" s="12" t="str">
        <f aca="false">IF(P150&gt;=4,"P1 立即启动",IF(P150&gt;=3.6,"P2 半年内推进",IF(P150&gt;=3.2,"P3 储备观察","P4 暂缓")))</f>
        <v>P4 暂缓</v>
      </c>
      <c r="R150" s="7" t="s">
        <v>825</v>
      </c>
      <c r="S150" s="7" t="s">
        <v>826</v>
      </c>
    </row>
    <row r="151" customFormat="false" ht="30" hidden="false" customHeight="true" outlineLevel="0" collapsed="false">
      <c r="A151" s="14" t="n">
        <v>150</v>
      </c>
      <c r="B151" s="15" t="s">
        <v>354</v>
      </c>
      <c r="C151" s="15" t="s">
        <v>827</v>
      </c>
      <c r="D151" s="15" t="s">
        <v>828</v>
      </c>
      <c r="E151" s="15" t="s">
        <v>829</v>
      </c>
      <c r="F151" s="15" t="s">
        <v>21</v>
      </c>
      <c r="G151" s="14" t="n">
        <v>2</v>
      </c>
      <c r="H151" s="15" t="s">
        <v>24</v>
      </c>
      <c r="I151" s="14" t="n">
        <v>5</v>
      </c>
      <c r="J151" s="15" t="s">
        <v>35</v>
      </c>
      <c r="K151" s="14" t="n">
        <v>1</v>
      </c>
      <c r="L151" s="15" t="s">
        <v>39</v>
      </c>
      <c r="M151" s="14" t="n">
        <v>3</v>
      </c>
      <c r="N151" s="15" t="s">
        <v>47</v>
      </c>
      <c r="O151" s="14" t="n">
        <v>2</v>
      </c>
      <c r="P151" s="16" t="n">
        <f aca="false">ROUND(G151*0.25+I151*0.25+K151*0.15+M151*0.15+O151*0.2,2)</f>
        <v>2.75</v>
      </c>
      <c r="Q151" s="14" t="str">
        <f aca="false">IF(P151&gt;=4,"P1 立即启动",IF(P151&gt;=3.6,"P2 半年内推进",IF(P151&gt;=3.2,"P3 储备观察","P4 暂缓")))</f>
        <v>P4 暂缓</v>
      </c>
      <c r="R151" s="15" t="s">
        <v>830</v>
      </c>
      <c r="S151" s="15" t="s">
        <v>831</v>
      </c>
    </row>
    <row r="152" customFormat="false" ht="30" hidden="false" customHeight="true" outlineLevel="0" collapsed="false">
      <c r="A152" s="12" t="n">
        <v>151</v>
      </c>
      <c r="B152" s="7" t="s">
        <v>354</v>
      </c>
      <c r="C152" s="8" t="s">
        <v>647</v>
      </c>
      <c r="D152" s="8" t="s">
        <v>832</v>
      </c>
      <c r="E152" s="7" t="s">
        <v>833</v>
      </c>
      <c r="F152" s="7" t="s">
        <v>21</v>
      </c>
      <c r="G152" s="12" t="n">
        <v>2</v>
      </c>
      <c r="H152" s="7" t="s">
        <v>25</v>
      </c>
      <c r="I152" s="12" t="n">
        <v>4</v>
      </c>
      <c r="J152" s="7" t="s">
        <v>34</v>
      </c>
      <c r="K152" s="12" t="n">
        <v>2</v>
      </c>
      <c r="L152" s="7" t="s">
        <v>40</v>
      </c>
      <c r="M152" s="12" t="n">
        <v>2</v>
      </c>
      <c r="N152" s="7" t="s">
        <v>46</v>
      </c>
      <c r="O152" s="12" t="n">
        <v>3</v>
      </c>
      <c r="P152" s="13" t="n">
        <f aca="false">ROUND(G152*0.25+I152*0.25+K152*0.15+M152*0.15+O152*0.2,2)</f>
        <v>2.7</v>
      </c>
      <c r="Q152" s="12" t="str">
        <f aca="false">IF(P152&gt;=4,"P1 立即启动",IF(P152&gt;=3.6,"P2 半年内推进",IF(P152&gt;=3.2,"P3 储备观察","P4 暂缓")))</f>
        <v>P4 暂缓</v>
      </c>
      <c r="R152" s="7" t="s">
        <v>834</v>
      </c>
      <c r="S152" s="7" t="s">
        <v>835</v>
      </c>
    </row>
    <row r="153" customFormat="false" ht="30" hidden="false" customHeight="true" outlineLevel="0" collapsed="false">
      <c r="A153" s="14" t="n">
        <v>152</v>
      </c>
      <c r="B153" s="15" t="s">
        <v>354</v>
      </c>
      <c r="C153" s="15" t="s">
        <v>836</v>
      </c>
      <c r="D153" s="15" t="s">
        <v>837</v>
      </c>
      <c r="E153" s="15" t="s">
        <v>838</v>
      </c>
      <c r="F153" s="15" t="s">
        <v>19</v>
      </c>
      <c r="G153" s="14" t="n">
        <v>4</v>
      </c>
      <c r="H153" s="15" t="s">
        <v>27</v>
      </c>
      <c r="I153" s="14" t="n">
        <v>2</v>
      </c>
      <c r="J153" s="15" t="s">
        <v>34</v>
      </c>
      <c r="K153" s="14" t="n">
        <v>2</v>
      </c>
      <c r="L153" s="15" t="s">
        <v>40</v>
      </c>
      <c r="M153" s="14" t="n">
        <v>2</v>
      </c>
      <c r="N153" s="15" t="s">
        <v>46</v>
      </c>
      <c r="O153" s="14" t="n">
        <v>3</v>
      </c>
      <c r="P153" s="16" t="n">
        <f aca="false">ROUND(G153*0.25+I153*0.25+K153*0.15+M153*0.15+O153*0.2,2)</f>
        <v>2.7</v>
      </c>
      <c r="Q153" s="14" t="str">
        <f aca="false">IF(P153&gt;=4,"P1 立即启动",IF(P153&gt;=3.6,"P2 半年内推进",IF(P153&gt;=3.2,"P3 储备观察","P4 暂缓")))</f>
        <v>P4 暂缓</v>
      </c>
      <c r="R153" s="15" t="s">
        <v>839</v>
      </c>
      <c r="S153" s="15" t="s">
        <v>840</v>
      </c>
    </row>
    <row r="154" customFormat="false" ht="30" hidden="false" customHeight="true" outlineLevel="0" collapsed="false">
      <c r="A154" s="12" t="n">
        <v>153</v>
      </c>
      <c r="B154" s="7" t="s">
        <v>272</v>
      </c>
      <c r="C154" s="7" t="s">
        <v>841</v>
      </c>
      <c r="D154" s="7" t="s">
        <v>842</v>
      </c>
      <c r="E154" s="7" t="s">
        <v>843</v>
      </c>
      <c r="F154" s="7" t="s">
        <v>20</v>
      </c>
      <c r="G154" s="12" t="n">
        <v>3</v>
      </c>
      <c r="H154" s="7" t="s">
        <v>26</v>
      </c>
      <c r="I154" s="12" t="n">
        <v>3</v>
      </c>
      <c r="J154" s="7" t="s">
        <v>34</v>
      </c>
      <c r="K154" s="12" t="n">
        <v>2</v>
      </c>
      <c r="L154" s="7" t="s">
        <v>40</v>
      </c>
      <c r="M154" s="12" t="n">
        <v>2</v>
      </c>
      <c r="N154" s="7" t="s">
        <v>46</v>
      </c>
      <c r="O154" s="12" t="n">
        <v>3</v>
      </c>
      <c r="P154" s="13" t="n">
        <f aca="false">ROUND(G154*0.25+I154*0.25+K154*0.15+M154*0.15+O154*0.2,2)</f>
        <v>2.7</v>
      </c>
      <c r="Q154" s="12" t="str">
        <f aca="false">IF(P154&gt;=4,"P1 立即启动",IF(P154&gt;=3.6,"P2 半年内推进",IF(P154&gt;=3.2,"P3 储备观察","P4 暂缓")))</f>
        <v>P4 暂缓</v>
      </c>
      <c r="R154" s="7" t="s">
        <v>844</v>
      </c>
      <c r="S154" s="7" t="s">
        <v>845</v>
      </c>
    </row>
    <row r="155" customFormat="false" ht="30" hidden="false" customHeight="true" outlineLevel="0" collapsed="false">
      <c r="A155" s="14" t="n">
        <v>154</v>
      </c>
      <c r="B155" s="15" t="s">
        <v>365</v>
      </c>
      <c r="C155" s="15" t="s">
        <v>406</v>
      </c>
      <c r="D155" s="15" t="s">
        <v>846</v>
      </c>
      <c r="E155" s="15" t="s">
        <v>847</v>
      </c>
      <c r="F155" s="15" t="s">
        <v>19</v>
      </c>
      <c r="G155" s="14" t="n">
        <v>4</v>
      </c>
      <c r="H155" s="15" t="s">
        <v>25</v>
      </c>
      <c r="I155" s="14" t="n">
        <v>4</v>
      </c>
      <c r="J155" s="15" t="s">
        <v>35</v>
      </c>
      <c r="K155" s="14" t="n">
        <v>1</v>
      </c>
      <c r="L155" s="15" t="s">
        <v>41</v>
      </c>
      <c r="M155" s="14" t="n">
        <v>1</v>
      </c>
      <c r="N155" s="15" t="s">
        <v>47</v>
      </c>
      <c r="O155" s="14" t="n">
        <v>2</v>
      </c>
      <c r="P155" s="16" t="n">
        <f aca="false">ROUND(G155*0.25+I155*0.25+K155*0.15+M155*0.15+O155*0.2,2)</f>
        <v>2.7</v>
      </c>
      <c r="Q155" s="14" t="str">
        <f aca="false">IF(P155&gt;=4,"P1 立即启动",IF(P155&gt;=3.6,"P2 半年内推进",IF(P155&gt;=3.2,"P3 储备观察","P4 暂缓")))</f>
        <v>P4 暂缓</v>
      </c>
      <c r="R155" s="15" t="s">
        <v>848</v>
      </c>
      <c r="S155" s="15" t="s">
        <v>849</v>
      </c>
    </row>
    <row r="156" customFormat="false" ht="30" hidden="false" customHeight="true" outlineLevel="0" collapsed="false">
      <c r="A156" s="12" t="n">
        <v>155</v>
      </c>
      <c r="B156" s="7" t="s">
        <v>169</v>
      </c>
      <c r="C156" s="7" t="s">
        <v>850</v>
      </c>
      <c r="D156" s="7" t="s">
        <v>851</v>
      </c>
      <c r="E156" s="7" t="s">
        <v>852</v>
      </c>
      <c r="F156" s="7" t="s">
        <v>21</v>
      </c>
      <c r="G156" s="12" t="n">
        <v>2</v>
      </c>
      <c r="H156" s="7" t="s">
        <v>26</v>
      </c>
      <c r="I156" s="12" t="n">
        <v>3</v>
      </c>
      <c r="J156" s="7" t="s">
        <v>34</v>
      </c>
      <c r="K156" s="12" t="n">
        <v>2</v>
      </c>
      <c r="L156" s="7" t="s">
        <v>40</v>
      </c>
      <c r="M156" s="12" t="n">
        <v>2</v>
      </c>
      <c r="N156" s="7" t="s">
        <v>45</v>
      </c>
      <c r="O156" s="12" t="n">
        <v>4</v>
      </c>
      <c r="P156" s="13" t="n">
        <f aca="false">ROUND(G156*0.25+I156*0.25+K156*0.15+M156*0.15+O156*0.2,2)</f>
        <v>2.65</v>
      </c>
      <c r="Q156" s="12" t="str">
        <f aca="false">IF(P156&gt;=4,"P1 立即启动",IF(P156&gt;=3.6,"P2 半年内推进",IF(P156&gt;=3.2,"P3 储备观察","P4 暂缓")))</f>
        <v>P4 暂缓</v>
      </c>
      <c r="R156" s="7" t="s">
        <v>853</v>
      </c>
      <c r="S156" s="7" t="s">
        <v>854</v>
      </c>
    </row>
    <row r="157" customFormat="false" ht="30" hidden="false" customHeight="true" outlineLevel="0" collapsed="false">
      <c r="A157" s="14" t="n">
        <v>156</v>
      </c>
      <c r="B157" s="15" t="s">
        <v>621</v>
      </c>
      <c r="C157" s="15" t="s">
        <v>855</v>
      </c>
      <c r="D157" s="15" t="s">
        <v>856</v>
      </c>
      <c r="E157" s="15" t="s">
        <v>857</v>
      </c>
      <c r="F157" s="15" t="s">
        <v>21</v>
      </c>
      <c r="G157" s="14" t="n">
        <v>2</v>
      </c>
      <c r="H157" s="15" t="s">
        <v>26</v>
      </c>
      <c r="I157" s="14" t="n">
        <v>3</v>
      </c>
      <c r="J157" s="15" t="s">
        <v>35</v>
      </c>
      <c r="K157" s="14" t="n">
        <v>1</v>
      </c>
      <c r="L157" s="15" t="s">
        <v>39</v>
      </c>
      <c r="M157" s="14" t="n">
        <v>3</v>
      </c>
      <c r="N157" s="15" t="s">
        <v>45</v>
      </c>
      <c r="O157" s="14" t="n">
        <v>4</v>
      </c>
      <c r="P157" s="16" t="n">
        <f aca="false">ROUND(G157*0.25+I157*0.25+K157*0.15+M157*0.15+O157*0.2,2)</f>
        <v>2.65</v>
      </c>
      <c r="Q157" s="14" t="str">
        <f aca="false">IF(P157&gt;=4,"P1 立即启动",IF(P157&gt;=3.6,"P2 半年内推进",IF(P157&gt;=3.2,"P3 储备观察","P4 暂缓")))</f>
        <v>P4 暂缓</v>
      </c>
      <c r="R157" s="15" t="s">
        <v>858</v>
      </c>
      <c r="S157" s="15" t="s">
        <v>859</v>
      </c>
    </row>
    <row r="158" customFormat="false" ht="30" hidden="false" customHeight="true" outlineLevel="0" collapsed="false">
      <c r="A158" s="12" t="n">
        <v>157</v>
      </c>
      <c r="B158" s="7" t="s">
        <v>365</v>
      </c>
      <c r="C158" s="7" t="s">
        <v>860</v>
      </c>
      <c r="D158" s="7" t="s">
        <v>861</v>
      </c>
      <c r="E158" s="8" t="s">
        <v>862</v>
      </c>
      <c r="F158" s="7" t="s">
        <v>20</v>
      </c>
      <c r="G158" s="12" t="n">
        <v>3</v>
      </c>
      <c r="H158" s="7" t="s">
        <v>24</v>
      </c>
      <c r="I158" s="12" t="n">
        <v>5</v>
      </c>
      <c r="J158" s="7" t="s">
        <v>35</v>
      </c>
      <c r="K158" s="12" t="n">
        <v>1</v>
      </c>
      <c r="L158" s="7" t="s">
        <v>40</v>
      </c>
      <c r="M158" s="12" t="n">
        <v>2</v>
      </c>
      <c r="N158" s="7" t="s">
        <v>48</v>
      </c>
      <c r="O158" s="12" t="n">
        <v>1</v>
      </c>
      <c r="P158" s="13" t="n">
        <f aca="false">ROUND(G158*0.25+I158*0.25+K158*0.15+M158*0.15+O158*0.2,2)</f>
        <v>2.65</v>
      </c>
      <c r="Q158" s="12" t="str">
        <f aca="false">IF(P158&gt;=4,"P1 立即启动",IF(P158&gt;=3.6,"P2 半年内推进",IF(P158&gt;=3.2,"P3 储备观察","P4 暂缓")))</f>
        <v>P4 暂缓</v>
      </c>
      <c r="R158" s="7" t="s">
        <v>863</v>
      </c>
      <c r="S158" s="7" t="s">
        <v>864</v>
      </c>
    </row>
    <row r="159" customFormat="false" ht="30" hidden="false" customHeight="true" outlineLevel="0" collapsed="false">
      <c r="A159" s="14" t="n">
        <v>158</v>
      </c>
      <c r="B159" s="15" t="s">
        <v>94</v>
      </c>
      <c r="C159" s="15" t="s">
        <v>158</v>
      </c>
      <c r="D159" s="15" t="s">
        <v>865</v>
      </c>
      <c r="E159" s="15" t="s">
        <v>866</v>
      </c>
      <c r="F159" s="15" t="s">
        <v>21</v>
      </c>
      <c r="G159" s="14" t="n">
        <v>2</v>
      </c>
      <c r="H159" s="15" t="s">
        <v>26</v>
      </c>
      <c r="I159" s="14" t="n">
        <v>3</v>
      </c>
      <c r="J159" s="15" t="s">
        <v>34</v>
      </c>
      <c r="K159" s="14" t="n">
        <v>2</v>
      </c>
      <c r="L159" s="15" t="s">
        <v>39</v>
      </c>
      <c r="M159" s="14" t="n">
        <v>3</v>
      </c>
      <c r="N159" s="15" t="s">
        <v>46</v>
      </c>
      <c r="O159" s="14" t="n">
        <v>3</v>
      </c>
      <c r="P159" s="16" t="n">
        <f aca="false">ROUND(G159*0.25+I159*0.25+K159*0.15+M159*0.15+O159*0.2,2)</f>
        <v>2.6</v>
      </c>
      <c r="Q159" s="14" t="str">
        <f aca="false">IF(P159&gt;=4,"P1 立即启动",IF(P159&gt;=3.6,"P2 半年内推进",IF(P159&gt;=3.2,"P3 储备观察","P4 暂缓")))</f>
        <v>P4 暂缓</v>
      </c>
      <c r="R159" s="15" t="s">
        <v>867</v>
      </c>
      <c r="S159" s="15" t="s">
        <v>868</v>
      </c>
    </row>
    <row r="160" customFormat="false" ht="30" hidden="false" customHeight="true" outlineLevel="0" collapsed="false">
      <c r="A160" s="12" t="n">
        <v>159</v>
      </c>
      <c r="B160" s="7" t="s">
        <v>386</v>
      </c>
      <c r="C160" s="7" t="s">
        <v>869</v>
      </c>
      <c r="D160" s="7" t="s">
        <v>870</v>
      </c>
      <c r="E160" s="7" t="s">
        <v>871</v>
      </c>
      <c r="F160" s="7" t="s">
        <v>20</v>
      </c>
      <c r="G160" s="12" t="n">
        <v>3</v>
      </c>
      <c r="H160" s="7" t="s">
        <v>27</v>
      </c>
      <c r="I160" s="12" t="n">
        <v>2</v>
      </c>
      <c r="J160" s="7" t="s">
        <v>34</v>
      </c>
      <c r="K160" s="12" t="n">
        <v>2</v>
      </c>
      <c r="L160" s="7" t="s">
        <v>39</v>
      </c>
      <c r="M160" s="12" t="n">
        <v>3</v>
      </c>
      <c r="N160" s="7" t="s">
        <v>46</v>
      </c>
      <c r="O160" s="12" t="n">
        <v>3</v>
      </c>
      <c r="P160" s="13" t="n">
        <f aca="false">ROUND(G160*0.25+I160*0.25+K160*0.15+M160*0.15+O160*0.2,2)</f>
        <v>2.6</v>
      </c>
      <c r="Q160" s="12" t="str">
        <f aca="false">IF(P160&gt;=4,"P1 立即启动",IF(P160&gt;=3.6,"P2 半年内推进",IF(P160&gt;=3.2,"P3 储备观察","P4 暂缓")))</f>
        <v>P4 暂缓</v>
      </c>
      <c r="R160" s="7" t="s">
        <v>872</v>
      </c>
      <c r="S160" s="7" t="s">
        <v>873</v>
      </c>
    </row>
    <row r="161" customFormat="false" ht="30" hidden="false" customHeight="true" outlineLevel="0" collapsed="false">
      <c r="A161" s="14" t="n">
        <v>160</v>
      </c>
      <c r="B161" s="15" t="s">
        <v>163</v>
      </c>
      <c r="C161" s="15" t="s">
        <v>874</v>
      </c>
      <c r="D161" s="15" t="s">
        <v>875</v>
      </c>
      <c r="E161" s="15" t="s">
        <v>876</v>
      </c>
      <c r="F161" s="15" t="s">
        <v>20</v>
      </c>
      <c r="G161" s="14" t="n">
        <v>3</v>
      </c>
      <c r="H161" s="15" t="s">
        <v>27</v>
      </c>
      <c r="I161" s="14" t="n">
        <v>2</v>
      </c>
      <c r="J161" s="15" t="s">
        <v>34</v>
      </c>
      <c r="K161" s="14" t="n">
        <v>2</v>
      </c>
      <c r="L161" s="15" t="s">
        <v>39</v>
      </c>
      <c r="M161" s="14" t="n">
        <v>3</v>
      </c>
      <c r="N161" s="15" t="s">
        <v>46</v>
      </c>
      <c r="O161" s="14" t="n">
        <v>3</v>
      </c>
      <c r="P161" s="16" t="n">
        <f aca="false">ROUND(G161*0.25+I161*0.25+K161*0.15+M161*0.15+O161*0.2,2)</f>
        <v>2.6</v>
      </c>
      <c r="Q161" s="14" t="str">
        <f aca="false">IF(P161&gt;=4,"P1 立即启动",IF(P161&gt;=3.6,"P2 半年内推进",IF(P161&gt;=3.2,"P3 储备观察","P4 暂缓")))</f>
        <v>P4 暂缓</v>
      </c>
      <c r="R161" s="15" t="s">
        <v>877</v>
      </c>
      <c r="S161" s="15" t="s">
        <v>878</v>
      </c>
    </row>
    <row r="162" customFormat="false" ht="30" hidden="false" customHeight="true" outlineLevel="0" collapsed="false">
      <c r="A162" s="12" t="n">
        <v>161</v>
      </c>
      <c r="B162" s="7" t="s">
        <v>354</v>
      </c>
      <c r="C162" s="7" t="s">
        <v>421</v>
      </c>
      <c r="D162" s="7" t="s">
        <v>879</v>
      </c>
      <c r="E162" s="7" t="s">
        <v>880</v>
      </c>
      <c r="F162" s="7" t="s">
        <v>21</v>
      </c>
      <c r="G162" s="12" t="n">
        <v>2</v>
      </c>
      <c r="H162" s="7" t="s">
        <v>26</v>
      </c>
      <c r="I162" s="12" t="n">
        <v>3</v>
      </c>
      <c r="J162" s="7" t="s">
        <v>34</v>
      </c>
      <c r="K162" s="12" t="n">
        <v>2</v>
      </c>
      <c r="L162" s="7" t="s">
        <v>39</v>
      </c>
      <c r="M162" s="12" t="n">
        <v>3</v>
      </c>
      <c r="N162" s="7" t="s">
        <v>46</v>
      </c>
      <c r="O162" s="12" t="n">
        <v>3</v>
      </c>
      <c r="P162" s="13" t="n">
        <f aca="false">ROUND(G162*0.25+I162*0.25+K162*0.15+M162*0.15+O162*0.2,2)</f>
        <v>2.6</v>
      </c>
      <c r="Q162" s="12" t="str">
        <f aca="false">IF(P162&gt;=4,"P1 立即启动",IF(P162&gt;=3.6,"P2 半年内推进",IF(P162&gt;=3.2,"P3 储备观察","P4 暂缓")))</f>
        <v>P4 暂缓</v>
      </c>
      <c r="R162" s="7" t="s">
        <v>881</v>
      </c>
      <c r="S162" s="7" t="s">
        <v>882</v>
      </c>
    </row>
    <row r="163" customFormat="false" ht="30" hidden="false" customHeight="true" outlineLevel="0" collapsed="false">
      <c r="A163" s="14" t="n">
        <v>162</v>
      </c>
      <c r="B163" s="15" t="s">
        <v>126</v>
      </c>
      <c r="C163" s="15" t="s">
        <v>883</v>
      </c>
      <c r="D163" s="15" t="s">
        <v>884</v>
      </c>
      <c r="E163" s="15" t="s">
        <v>885</v>
      </c>
      <c r="F163" s="15" t="s">
        <v>21</v>
      </c>
      <c r="G163" s="14" t="n">
        <v>2</v>
      </c>
      <c r="H163" s="15" t="s">
        <v>26</v>
      </c>
      <c r="I163" s="14" t="n">
        <v>3</v>
      </c>
      <c r="J163" s="15" t="s">
        <v>34</v>
      </c>
      <c r="K163" s="14" t="n">
        <v>2</v>
      </c>
      <c r="L163" s="15" t="s">
        <v>39</v>
      </c>
      <c r="M163" s="14" t="n">
        <v>3</v>
      </c>
      <c r="N163" s="15" t="s">
        <v>46</v>
      </c>
      <c r="O163" s="14" t="n">
        <v>3</v>
      </c>
      <c r="P163" s="16" t="n">
        <f aca="false">ROUND(G163*0.25+I163*0.25+K163*0.15+M163*0.15+O163*0.2,2)</f>
        <v>2.6</v>
      </c>
      <c r="Q163" s="14" t="str">
        <f aca="false">IF(P163&gt;=4,"P1 立即启动",IF(P163&gt;=3.6,"P2 半年内推进",IF(P163&gt;=3.2,"P3 储备观察","P4 暂缓")))</f>
        <v>P4 暂缓</v>
      </c>
      <c r="R163" s="15" t="s">
        <v>886</v>
      </c>
      <c r="S163" s="15" t="s">
        <v>887</v>
      </c>
    </row>
    <row r="164" customFormat="false" ht="30" hidden="false" customHeight="true" outlineLevel="0" collapsed="false">
      <c r="A164" s="12" t="n">
        <v>163</v>
      </c>
      <c r="B164" s="7" t="s">
        <v>272</v>
      </c>
      <c r="C164" s="7" t="s">
        <v>542</v>
      </c>
      <c r="D164" s="7" t="s">
        <v>888</v>
      </c>
      <c r="E164" s="7" t="s">
        <v>889</v>
      </c>
      <c r="F164" s="7" t="s">
        <v>20</v>
      </c>
      <c r="G164" s="12" t="n">
        <v>3</v>
      </c>
      <c r="H164" s="7" t="s">
        <v>27</v>
      </c>
      <c r="I164" s="12" t="n">
        <v>2</v>
      </c>
      <c r="J164" s="7" t="s">
        <v>34</v>
      </c>
      <c r="K164" s="12" t="n">
        <v>2</v>
      </c>
      <c r="L164" s="7" t="s">
        <v>39</v>
      </c>
      <c r="M164" s="12" t="n">
        <v>3</v>
      </c>
      <c r="N164" s="7" t="s">
        <v>46</v>
      </c>
      <c r="O164" s="12" t="n">
        <v>3</v>
      </c>
      <c r="P164" s="13" t="n">
        <f aca="false">ROUND(G164*0.25+I164*0.25+K164*0.15+M164*0.15+O164*0.2,2)</f>
        <v>2.6</v>
      </c>
      <c r="Q164" s="12" t="str">
        <f aca="false">IF(P164&gt;=4,"P1 立即启动",IF(P164&gt;=3.6,"P2 半年内推进",IF(P164&gt;=3.2,"P3 储备观察","P4 暂缓")))</f>
        <v>P4 暂缓</v>
      </c>
      <c r="R164" s="7" t="s">
        <v>890</v>
      </c>
      <c r="S164" s="7" t="s">
        <v>891</v>
      </c>
    </row>
    <row r="165" customFormat="false" ht="30" hidden="false" customHeight="true" outlineLevel="0" collapsed="false">
      <c r="A165" s="14" t="n">
        <v>164</v>
      </c>
      <c r="B165" s="15" t="s">
        <v>365</v>
      </c>
      <c r="C165" s="15" t="s">
        <v>461</v>
      </c>
      <c r="D165" s="15" t="s">
        <v>462</v>
      </c>
      <c r="E165" s="15" t="s">
        <v>892</v>
      </c>
      <c r="F165" s="15" t="s">
        <v>21</v>
      </c>
      <c r="G165" s="14" t="n">
        <v>2</v>
      </c>
      <c r="H165" s="15" t="s">
        <v>24</v>
      </c>
      <c r="I165" s="14" t="n">
        <v>5</v>
      </c>
      <c r="J165" s="15" t="s">
        <v>35</v>
      </c>
      <c r="K165" s="14" t="n">
        <v>1</v>
      </c>
      <c r="L165" s="15" t="s">
        <v>40</v>
      </c>
      <c r="M165" s="14" t="n">
        <v>2</v>
      </c>
      <c r="N165" s="15" t="s">
        <v>47</v>
      </c>
      <c r="O165" s="14" t="n">
        <v>2</v>
      </c>
      <c r="P165" s="16" t="n">
        <f aca="false">ROUND(G165*0.25+I165*0.25+K165*0.15+M165*0.15+O165*0.2,2)</f>
        <v>2.6</v>
      </c>
      <c r="Q165" s="14" t="str">
        <f aca="false">IF(P165&gt;=4,"P1 立即启动",IF(P165&gt;=3.6,"P2 半年内推进",IF(P165&gt;=3.2,"P3 储备观察","P4 暂缓")))</f>
        <v>P4 暂缓</v>
      </c>
      <c r="R165" s="15" t="s">
        <v>893</v>
      </c>
      <c r="S165" s="15" t="s">
        <v>894</v>
      </c>
    </row>
    <row r="166" customFormat="false" ht="30" hidden="false" customHeight="true" outlineLevel="0" collapsed="false">
      <c r="A166" s="12" t="n">
        <v>165</v>
      </c>
      <c r="B166" s="7" t="s">
        <v>333</v>
      </c>
      <c r="C166" s="7" t="s">
        <v>895</v>
      </c>
      <c r="D166" s="7" t="s">
        <v>896</v>
      </c>
      <c r="E166" s="7" t="s">
        <v>897</v>
      </c>
      <c r="F166" s="7" t="s">
        <v>21</v>
      </c>
      <c r="G166" s="12" t="n">
        <v>2</v>
      </c>
      <c r="H166" s="7" t="s">
        <v>27</v>
      </c>
      <c r="I166" s="12" t="n">
        <v>2</v>
      </c>
      <c r="J166" s="7" t="s">
        <v>34</v>
      </c>
      <c r="K166" s="12" t="n">
        <v>2</v>
      </c>
      <c r="L166" s="7" t="s">
        <v>39</v>
      </c>
      <c r="M166" s="12" t="n">
        <v>3</v>
      </c>
      <c r="N166" s="7" t="s">
        <v>45</v>
      </c>
      <c r="O166" s="12" t="n">
        <v>4</v>
      </c>
      <c r="P166" s="13" t="n">
        <f aca="false">ROUND(G166*0.25+I166*0.25+K166*0.15+M166*0.15+O166*0.2,2)</f>
        <v>2.55</v>
      </c>
      <c r="Q166" s="12" t="str">
        <f aca="false">IF(P166&gt;=4,"P1 立即启动",IF(P166&gt;=3.6,"P2 半年内推进",IF(P166&gt;=3.2,"P3 储备观察","P4 暂缓")))</f>
        <v>P4 暂缓</v>
      </c>
      <c r="R166" s="7" t="s">
        <v>898</v>
      </c>
      <c r="S166" s="7" t="s">
        <v>794</v>
      </c>
    </row>
    <row r="167" customFormat="false" ht="30" hidden="false" customHeight="true" outlineLevel="0" collapsed="false">
      <c r="A167" s="14" t="n">
        <v>166</v>
      </c>
      <c r="B167" s="15" t="s">
        <v>272</v>
      </c>
      <c r="C167" s="15" t="s">
        <v>451</v>
      </c>
      <c r="D167" s="15" t="s">
        <v>899</v>
      </c>
      <c r="E167" s="15" t="s">
        <v>900</v>
      </c>
      <c r="F167" s="15" t="s">
        <v>18</v>
      </c>
      <c r="G167" s="14" t="n">
        <v>5</v>
      </c>
      <c r="H167" s="15" t="s">
        <v>28</v>
      </c>
      <c r="I167" s="14" t="n">
        <v>1</v>
      </c>
      <c r="J167" s="15" t="s">
        <v>35</v>
      </c>
      <c r="K167" s="14" t="n">
        <v>1</v>
      </c>
      <c r="L167" s="15" t="s">
        <v>40</v>
      </c>
      <c r="M167" s="14" t="n">
        <v>2</v>
      </c>
      <c r="N167" s="15" t="s">
        <v>46</v>
      </c>
      <c r="O167" s="14" t="n">
        <v>3</v>
      </c>
      <c r="P167" s="16" t="n">
        <f aca="false">ROUND(G167*0.25+I167*0.25+K167*0.15+M167*0.15+O167*0.2,2)</f>
        <v>2.55</v>
      </c>
      <c r="Q167" s="14" t="str">
        <f aca="false">IF(P167&gt;=4,"P1 立即启动",IF(P167&gt;=3.6,"P2 半年内推进",IF(P167&gt;=3.2,"P3 储备观察","P4 暂缓")))</f>
        <v>P4 暂缓</v>
      </c>
      <c r="R167" s="15" t="s">
        <v>901</v>
      </c>
      <c r="S167" s="15" t="s">
        <v>902</v>
      </c>
    </row>
    <row r="168" customFormat="false" ht="30" hidden="false" customHeight="true" outlineLevel="0" collapsed="false">
      <c r="A168" s="12" t="n">
        <v>167</v>
      </c>
      <c r="B168" s="7" t="s">
        <v>163</v>
      </c>
      <c r="C168" s="7" t="s">
        <v>903</v>
      </c>
      <c r="D168" s="7" t="s">
        <v>904</v>
      </c>
      <c r="E168" s="7" t="s">
        <v>905</v>
      </c>
      <c r="F168" s="7" t="s">
        <v>21</v>
      </c>
      <c r="G168" s="12" t="n">
        <v>2</v>
      </c>
      <c r="H168" s="7" t="s">
        <v>28</v>
      </c>
      <c r="I168" s="12" t="n">
        <v>1</v>
      </c>
      <c r="J168" s="7" t="s">
        <v>33</v>
      </c>
      <c r="K168" s="12" t="n">
        <v>3</v>
      </c>
      <c r="L168" s="7" t="s">
        <v>39</v>
      </c>
      <c r="M168" s="12" t="n">
        <v>3</v>
      </c>
      <c r="N168" s="7" t="s">
        <v>45</v>
      </c>
      <c r="O168" s="12" t="n">
        <v>4</v>
      </c>
      <c r="P168" s="13" t="n">
        <f aca="false">ROUND(G168*0.25+I168*0.25+K168*0.15+M168*0.15+O168*0.2,2)</f>
        <v>2.45</v>
      </c>
      <c r="Q168" s="12" t="str">
        <f aca="false">IF(P168&gt;=4,"P1 立即启动",IF(P168&gt;=3.6,"P2 半年内推进",IF(P168&gt;=3.2,"P3 储备观察","P4 暂缓")))</f>
        <v>P4 暂缓</v>
      </c>
      <c r="R168" s="7" t="s">
        <v>906</v>
      </c>
      <c r="S168" s="7" t="s">
        <v>794</v>
      </c>
    </row>
    <row r="169" customFormat="false" ht="30" hidden="false" customHeight="true" outlineLevel="0" collapsed="false">
      <c r="A169" s="14" t="n">
        <v>168</v>
      </c>
      <c r="B169" s="15" t="s">
        <v>256</v>
      </c>
      <c r="C169" s="15" t="s">
        <v>907</v>
      </c>
      <c r="D169" s="15" t="s">
        <v>908</v>
      </c>
      <c r="E169" s="15" t="s">
        <v>909</v>
      </c>
      <c r="F169" s="15" t="s">
        <v>21</v>
      </c>
      <c r="G169" s="14" t="n">
        <v>2</v>
      </c>
      <c r="H169" s="15" t="s">
        <v>26</v>
      </c>
      <c r="I169" s="14" t="n">
        <v>3</v>
      </c>
      <c r="J169" s="15" t="s">
        <v>35</v>
      </c>
      <c r="K169" s="14" t="n">
        <v>1</v>
      </c>
      <c r="L169" s="15" t="s">
        <v>39</v>
      </c>
      <c r="M169" s="14" t="n">
        <v>3</v>
      </c>
      <c r="N169" s="15" t="s">
        <v>46</v>
      </c>
      <c r="O169" s="14" t="n">
        <v>3</v>
      </c>
      <c r="P169" s="16" t="n">
        <f aca="false">ROUND(G169*0.25+I169*0.25+K169*0.15+M169*0.15+O169*0.2,2)</f>
        <v>2.45</v>
      </c>
      <c r="Q169" s="14" t="str">
        <f aca="false">IF(P169&gt;=4,"P1 立即启动",IF(P169&gt;=3.6,"P2 半年内推进",IF(P169&gt;=3.2,"P3 储备观察","P4 暂缓")))</f>
        <v>P4 暂缓</v>
      </c>
      <c r="R169" s="15" t="s">
        <v>910</v>
      </c>
      <c r="S169" s="15" t="s">
        <v>911</v>
      </c>
    </row>
    <row r="170" customFormat="false" ht="30" hidden="false" customHeight="true" outlineLevel="0" collapsed="false">
      <c r="A170" s="12" t="n">
        <v>169</v>
      </c>
      <c r="B170" s="7" t="s">
        <v>621</v>
      </c>
      <c r="C170" s="7" t="s">
        <v>912</v>
      </c>
      <c r="D170" s="7" t="s">
        <v>913</v>
      </c>
      <c r="E170" s="7" t="s">
        <v>914</v>
      </c>
      <c r="F170" s="7" t="s">
        <v>21</v>
      </c>
      <c r="G170" s="12" t="n">
        <v>2</v>
      </c>
      <c r="H170" s="7" t="s">
        <v>27</v>
      </c>
      <c r="I170" s="12" t="n">
        <v>2</v>
      </c>
      <c r="J170" s="7" t="s">
        <v>35</v>
      </c>
      <c r="K170" s="12" t="n">
        <v>1</v>
      </c>
      <c r="L170" s="7" t="s">
        <v>39</v>
      </c>
      <c r="M170" s="12" t="n">
        <v>3</v>
      </c>
      <c r="N170" s="7" t="s">
        <v>45</v>
      </c>
      <c r="O170" s="12" t="n">
        <v>4</v>
      </c>
      <c r="P170" s="13" t="n">
        <f aca="false">ROUND(G170*0.25+I170*0.25+K170*0.15+M170*0.15+O170*0.2,2)</f>
        <v>2.4</v>
      </c>
      <c r="Q170" s="12" t="str">
        <f aca="false">IF(P170&gt;=4,"P1 立即启动",IF(P170&gt;=3.6,"P2 半年内推进",IF(P170&gt;=3.2,"P3 储备观察","P4 暂缓")))</f>
        <v>P4 暂缓</v>
      </c>
      <c r="R170" s="7" t="s">
        <v>915</v>
      </c>
      <c r="S170" s="7" t="s">
        <v>859</v>
      </c>
    </row>
    <row r="171" customFormat="false" ht="30" hidden="false" customHeight="true" outlineLevel="0" collapsed="false">
      <c r="A171" s="14" t="n">
        <v>170</v>
      </c>
      <c r="B171" s="15" t="s">
        <v>365</v>
      </c>
      <c r="C171" s="15" t="s">
        <v>481</v>
      </c>
      <c r="D171" s="15" t="s">
        <v>916</v>
      </c>
      <c r="E171" s="15" t="s">
        <v>917</v>
      </c>
      <c r="F171" s="15" t="s">
        <v>20</v>
      </c>
      <c r="G171" s="14" t="n">
        <v>3</v>
      </c>
      <c r="H171" s="15" t="s">
        <v>25</v>
      </c>
      <c r="I171" s="14" t="n">
        <v>4</v>
      </c>
      <c r="J171" s="15" t="s">
        <v>35</v>
      </c>
      <c r="K171" s="14" t="n">
        <v>1</v>
      </c>
      <c r="L171" s="15" t="s">
        <v>40</v>
      </c>
      <c r="M171" s="14" t="n">
        <v>2</v>
      </c>
      <c r="N171" s="15" t="s">
        <v>48</v>
      </c>
      <c r="O171" s="14" t="n">
        <v>1</v>
      </c>
      <c r="P171" s="16" t="n">
        <f aca="false">ROUND(G171*0.25+I171*0.25+K171*0.15+M171*0.15+O171*0.2,2)</f>
        <v>2.4</v>
      </c>
      <c r="Q171" s="14" t="str">
        <f aca="false">IF(P171&gt;=4,"P1 立即启动",IF(P171&gt;=3.6,"P2 半年内推进",IF(P171&gt;=3.2,"P3 储备观察","P4 暂缓")))</f>
        <v>P4 暂缓</v>
      </c>
      <c r="R171" s="15" t="s">
        <v>918</v>
      </c>
      <c r="S171" s="15" t="s">
        <v>919</v>
      </c>
    </row>
    <row r="172" customFormat="false" ht="30" hidden="false" customHeight="true" outlineLevel="0" collapsed="false">
      <c r="A172" s="12" t="n">
        <v>171</v>
      </c>
      <c r="B172" s="7" t="s">
        <v>920</v>
      </c>
      <c r="C172" s="7" t="s">
        <v>921</v>
      </c>
      <c r="D172" s="7" t="s">
        <v>922</v>
      </c>
      <c r="E172" s="7" t="s">
        <v>923</v>
      </c>
      <c r="F172" s="7" t="s">
        <v>21</v>
      </c>
      <c r="G172" s="12" t="n">
        <v>2</v>
      </c>
      <c r="H172" s="7" t="s">
        <v>26</v>
      </c>
      <c r="I172" s="12" t="n">
        <v>3</v>
      </c>
      <c r="J172" s="7" t="s">
        <v>35</v>
      </c>
      <c r="K172" s="12" t="n">
        <v>1</v>
      </c>
      <c r="L172" s="7" t="s">
        <v>40</v>
      </c>
      <c r="M172" s="12" t="n">
        <v>2</v>
      </c>
      <c r="N172" s="7" t="s">
        <v>46</v>
      </c>
      <c r="O172" s="12" t="n">
        <v>3</v>
      </c>
      <c r="P172" s="13" t="n">
        <f aca="false">ROUND(G172*0.25+I172*0.25+K172*0.15+M172*0.15+O172*0.2,2)</f>
        <v>2.3</v>
      </c>
      <c r="Q172" s="12" t="str">
        <f aca="false">IF(P172&gt;=4,"P1 立即启动",IF(P172&gt;=3.6,"P2 半年内推进",IF(P172&gt;=3.2,"P3 储备观察","P4 暂缓")))</f>
        <v>P4 暂缓</v>
      </c>
      <c r="R172" s="7" t="s">
        <v>910</v>
      </c>
      <c r="S172" s="7" t="s">
        <v>924</v>
      </c>
    </row>
    <row r="173" customFormat="false" ht="30" hidden="false" customHeight="true" outlineLevel="0" collapsed="false">
      <c r="A173" s="14" t="n">
        <v>172</v>
      </c>
      <c r="B173" s="15" t="s">
        <v>163</v>
      </c>
      <c r="C173" s="15" t="s">
        <v>925</v>
      </c>
      <c r="D173" s="15" t="s">
        <v>926</v>
      </c>
      <c r="E173" s="15" t="s">
        <v>927</v>
      </c>
      <c r="F173" s="15" t="s">
        <v>20</v>
      </c>
      <c r="G173" s="14" t="n">
        <v>3</v>
      </c>
      <c r="H173" s="15" t="s">
        <v>27</v>
      </c>
      <c r="I173" s="14" t="n">
        <v>2</v>
      </c>
      <c r="J173" s="15" t="s">
        <v>34</v>
      </c>
      <c r="K173" s="14" t="n">
        <v>2</v>
      </c>
      <c r="L173" s="15" t="s">
        <v>40</v>
      </c>
      <c r="M173" s="14" t="n">
        <v>2</v>
      </c>
      <c r="N173" s="15" t="s">
        <v>47</v>
      </c>
      <c r="O173" s="14" t="n">
        <v>2</v>
      </c>
      <c r="P173" s="16" t="n">
        <f aca="false">ROUND(G173*0.25+I173*0.25+K173*0.15+M173*0.15+O173*0.2,2)</f>
        <v>2.25</v>
      </c>
      <c r="Q173" s="14" t="str">
        <f aca="false">IF(P173&gt;=4,"P1 立即启动",IF(P173&gt;=3.6,"P2 半年内推进",IF(P173&gt;=3.2,"P3 储备观察","P4 暂缓")))</f>
        <v>P4 暂缓</v>
      </c>
      <c r="R173" s="15" t="s">
        <v>928</v>
      </c>
      <c r="S173" s="15" t="s">
        <v>929</v>
      </c>
    </row>
    <row r="174" customFormat="false" ht="30" hidden="false" customHeight="true" outlineLevel="0" collapsed="false">
      <c r="A174" s="12" t="n">
        <v>173</v>
      </c>
      <c r="B174" s="7" t="s">
        <v>365</v>
      </c>
      <c r="C174" s="7" t="s">
        <v>930</v>
      </c>
      <c r="D174" s="7" t="s">
        <v>931</v>
      </c>
      <c r="E174" s="7" t="s">
        <v>932</v>
      </c>
      <c r="F174" s="7" t="s">
        <v>21</v>
      </c>
      <c r="G174" s="12" t="n">
        <v>2</v>
      </c>
      <c r="H174" s="7" t="s">
        <v>26</v>
      </c>
      <c r="I174" s="12" t="n">
        <v>3</v>
      </c>
      <c r="J174" s="7" t="s">
        <v>35</v>
      </c>
      <c r="K174" s="12" t="n">
        <v>1</v>
      </c>
      <c r="L174" s="7" t="s">
        <v>39</v>
      </c>
      <c r="M174" s="12" t="n">
        <v>3</v>
      </c>
      <c r="N174" s="7" t="s">
        <v>47</v>
      </c>
      <c r="O174" s="12" t="n">
        <v>2</v>
      </c>
      <c r="P174" s="13" t="n">
        <f aca="false">ROUND(G174*0.25+I174*0.25+K174*0.15+M174*0.15+O174*0.2,2)</f>
        <v>2.25</v>
      </c>
      <c r="Q174" s="12" t="str">
        <f aca="false">IF(P174&gt;=4,"P1 立即启动",IF(P174&gt;=3.6,"P2 半年内推进",IF(P174&gt;=3.2,"P3 储备观察","P4 暂缓")))</f>
        <v>P4 暂缓</v>
      </c>
      <c r="R174" s="7" t="s">
        <v>933</v>
      </c>
      <c r="S174" s="7" t="s">
        <v>934</v>
      </c>
    </row>
    <row r="175" customFormat="false" ht="30" hidden="false" customHeight="true" outlineLevel="0" collapsed="false">
      <c r="A175" s="14" t="n">
        <v>174</v>
      </c>
      <c r="B175" s="15" t="s">
        <v>333</v>
      </c>
      <c r="C175" s="15" t="s">
        <v>935</v>
      </c>
      <c r="D175" s="15" t="s">
        <v>936</v>
      </c>
      <c r="E175" s="15" t="s">
        <v>937</v>
      </c>
      <c r="F175" s="15" t="s">
        <v>21</v>
      </c>
      <c r="G175" s="14" t="n">
        <v>2</v>
      </c>
      <c r="H175" s="15" t="s">
        <v>27</v>
      </c>
      <c r="I175" s="14" t="n">
        <v>2</v>
      </c>
      <c r="J175" s="15" t="s">
        <v>35</v>
      </c>
      <c r="K175" s="14" t="n">
        <v>1</v>
      </c>
      <c r="L175" s="15" t="s">
        <v>39</v>
      </c>
      <c r="M175" s="14" t="n">
        <v>3</v>
      </c>
      <c r="N175" s="15" t="s">
        <v>46</v>
      </c>
      <c r="O175" s="14" t="n">
        <v>3</v>
      </c>
      <c r="P175" s="16" t="n">
        <f aca="false">ROUND(G175*0.25+I175*0.25+K175*0.15+M175*0.15+O175*0.2,2)</f>
        <v>2.2</v>
      </c>
      <c r="Q175" s="14" t="str">
        <f aca="false">IF(P175&gt;=4,"P1 立即启动",IF(P175&gt;=3.6,"P2 半年内推进",IF(P175&gt;=3.2,"P3 储备观察","P4 暂缓")))</f>
        <v>P4 暂缓</v>
      </c>
      <c r="R175" s="15" t="s">
        <v>938</v>
      </c>
      <c r="S175" s="15" t="s">
        <v>859</v>
      </c>
    </row>
    <row r="176" customFormat="false" ht="30" hidden="false" customHeight="true" outlineLevel="0" collapsed="false">
      <c r="A176" s="12" t="n">
        <v>175</v>
      </c>
      <c r="B176" s="7" t="s">
        <v>138</v>
      </c>
      <c r="C176" s="7" t="s">
        <v>939</v>
      </c>
      <c r="D176" s="7" t="s">
        <v>940</v>
      </c>
      <c r="E176" s="7" t="s">
        <v>941</v>
      </c>
      <c r="F176" s="7" t="s">
        <v>22</v>
      </c>
      <c r="G176" s="12" t="n">
        <v>1</v>
      </c>
      <c r="H176" s="7" t="s">
        <v>27</v>
      </c>
      <c r="I176" s="12" t="n">
        <v>2</v>
      </c>
      <c r="J176" s="7" t="s">
        <v>35</v>
      </c>
      <c r="K176" s="12" t="n">
        <v>1</v>
      </c>
      <c r="L176" s="7" t="s">
        <v>39</v>
      </c>
      <c r="M176" s="12" t="n">
        <v>3</v>
      </c>
      <c r="N176" s="7" t="s">
        <v>45</v>
      </c>
      <c r="O176" s="12" t="n">
        <v>4</v>
      </c>
      <c r="P176" s="13" t="n">
        <f aca="false">ROUND(G176*0.25+I176*0.25+K176*0.15+M176*0.15+O176*0.2,2)</f>
        <v>2.15</v>
      </c>
      <c r="Q176" s="12" t="str">
        <f aca="false">IF(P176&gt;=4,"P1 立即启动",IF(P176&gt;=3.6,"P2 半年内推进",IF(P176&gt;=3.2,"P3 储备观察","P4 暂缓")))</f>
        <v>P4 暂缓</v>
      </c>
      <c r="R176" s="7" t="s">
        <v>942</v>
      </c>
      <c r="S176" s="7" t="s">
        <v>859</v>
      </c>
    </row>
    <row r="177" customFormat="false" ht="30" hidden="false" customHeight="true" outlineLevel="0" collapsed="false">
      <c r="A177" s="14" t="n">
        <v>176</v>
      </c>
      <c r="B177" s="15" t="s">
        <v>365</v>
      </c>
      <c r="C177" s="15" t="s">
        <v>481</v>
      </c>
      <c r="D177" s="15" t="s">
        <v>943</v>
      </c>
      <c r="E177" s="15" t="s">
        <v>944</v>
      </c>
      <c r="F177" s="15" t="s">
        <v>21</v>
      </c>
      <c r="G177" s="14" t="n">
        <v>2</v>
      </c>
      <c r="H177" s="15" t="s">
        <v>26</v>
      </c>
      <c r="I177" s="14" t="n">
        <v>3</v>
      </c>
      <c r="J177" s="15" t="s">
        <v>35</v>
      </c>
      <c r="K177" s="14" t="n">
        <v>1</v>
      </c>
      <c r="L177" s="15" t="s">
        <v>40</v>
      </c>
      <c r="M177" s="14" t="n">
        <v>2</v>
      </c>
      <c r="N177" s="15" t="s">
        <v>47</v>
      </c>
      <c r="O177" s="14" t="n">
        <v>2</v>
      </c>
      <c r="P177" s="16" t="n">
        <f aca="false">ROUND(G177*0.25+I177*0.25+K177*0.15+M177*0.15+O177*0.2,2)</f>
        <v>2.1</v>
      </c>
      <c r="Q177" s="14" t="str">
        <f aca="false">IF(P177&gt;=4,"P1 立即启动",IF(P177&gt;=3.6,"P2 半年内推进",IF(P177&gt;=3.2,"P3 储备观察","P4 暂缓")))</f>
        <v>P4 暂缓</v>
      </c>
      <c r="R177" s="15" t="s">
        <v>945</v>
      </c>
      <c r="S177" s="15" t="s">
        <v>946</v>
      </c>
    </row>
    <row r="178" customFormat="false" ht="30" hidden="false" customHeight="true" outlineLevel="0" collapsed="false">
      <c r="A178" s="12" t="n">
        <v>177</v>
      </c>
      <c r="B178" s="7" t="s">
        <v>365</v>
      </c>
      <c r="C178" s="7" t="s">
        <v>947</v>
      </c>
      <c r="D178" s="7" t="s">
        <v>948</v>
      </c>
      <c r="E178" s="7" t="s">
        <v>949</v>
      </c>
      <c r="F178" s="7" t="s">
        <v>22</v>
      </c>
      <c r="G178" s="12" t="n">
        <v>1</v>
      </c>
      <c r="H178" s="7" t="s">
        <v>27</v>
      </c>
      <c r="I178" s="12" t="n">
        <v>2</v>
      </c>
      <c r="J178" s="7" t="s">
        <v>34</v>
      </c>
      <c r="K178" s="12" t="n">
        <v>2</v>
      </c>
      <c r="L178" s="7" t="s">
        <v>39</v>
      </c>
      <c r="M178" s="12" t="n">
        <v>3</v>
      </c>
      <c r="N178" s="7" t="s">
        <v>46</v>
      </c>
      <c r="O178" s="12" t="n">
        <v>3</v>
      </c>
      <c r="P178" s="13" t="n">
        <f aca="false">ROUND(G178*0.25+I178*0.25+K178*0.15+M178*0.15+O178*0.2,2)</f>
        <v>2.1</v>
      </c>
      <c r="Q178" s="12" t="str">
        <f aca="false">IF(P178&gt;=4,"P1 立即启动",IF(P178&gt;=3.6,"P2 半年内推进",IF(P178&gt;=3.2,"P3 储备观察","P4 暂缓")))</f>
        <v>P4 暂缓</v>
      </c>
      <c r="R178" s="7" t="s">
        <v>950</v>
      </c>
      <c r="S178" s="7" t="s">
        <v>951</v>
      </c>
    </row>
    <row r="179" customFormat="false" ht="30" hidden="false" customHeight="true" outlineLevel="0" collapsed="false">
      <c r="A179" s="14" t="n">
        <v>178</v>
      </c>
      <c r="B179" s="15" t="s">
        <v>920</v>
      </c>
      <c r="C179" s="15" t="s">
        <v>952</v>
      </c>
      <c r="D179" s="15" t="s">
        <v>953</v>
      </c>
      <c r="E179" s="15" t="s">
        <v>954</v>
      </c>
      <c r="F179" s="15" t="s">
        <v>22</v>
      </c>
      <c r="G179" s="14" t="n">
        <v>1</v>
      </c>
      <c r="H179" s="15" t="s">
        <v>27</v>
      </c>
      <c r="I179" s="14" t="n">
        <v>2</v>
      </c>
      <c r="J179" s="15" t="s">
        <v>35</v>
      </c>
      <c r="K179" s="14" t="n">
        <v>1</v>
      </c>
      <c r="L179" s="15" t="s">
        <v>40</v>
      </c>
      <c r="M179" s="14" t="n">
        <v>2</v>
      </c>
      <c r="N179" s="15" t="s">
        <v>46</v>
      </c>
      <c r="O179" s="14" t="n">
        <v>3</v>
      </c>
      <c r="P179" s="16" t="n">
        <f aca="false">ROUND(G179*0.25+I179*0.25+K179*0.15+M179*0.15+O179*0.2,2)</f>
        <v>1.8</v>
      </c>
      <c r="Q179" s="14" t="str">
        <f aca="false">IF(P179&gt;=4,"P1 立即启动",IF(P179&gt;=3.6,"P2 半年内推进",IF(P179&gt;=3.2,"P3 储备观察","P4 暂缓")))</f>
        <v>P4 暂缓</v>
      </c>
      <c r="R179" s="15" t="s">
        <v>955</v>
      </c>
      <c r="S179" s="15" t="s">
        <v>956</v>
      </c>
    </row>
    <row r="180" customFormat="false" ht="30" hidden="false" customHeight="true" outlineLevel="0" collapsed="false">
      <c r="A180" s="12" t="n">
        <v>179</v>
      </c>
      <c r="B180" s="7" t="s">
        <v>920</v>
      </c>
      <c r="C180" s="7" t="s">
        <v>957</v>
      </c>
      <c r="D180" s="7" t="s">
        <v>958</v>
      </c>
      <c r="E180" s="7" t="s">
        <v>959</v>
      </c>
      <c r="F180" s="7" t="s">
        <v>22</v>
      </c>
      <c r="G180" s="12" t="n">
        <v>1</v>
      </c>
      <c r="H180" s="7" t="s">
        <v>28</v>
      </c>
      <c r="I180" s="12" t="n">
        <v>1</v>
      </c>
      <c r="J180" s="7" t="s">
        <v>35</v>
      </c>
      <c r="K180" s="12" t="n">
        <v>1</v>
      </c>
      <c r="L180" s="7" t="s">
        <v>40</v>
      </c>
      <c r="M180" s="12" t="n">
        <v>2</v>
      </c>
      <c r="N180" s="7" t="s">
        <v>46</v>
      </c>
      <c r="O180" s="12" t="n">
        <v>3</v>
      </c>
      <c r="P180" s="13" t="n">
        <f aca="false">ROUND(G180*0.25+I180*0.25+K180*0.15+M180*0.15+O180*0.2,2)</f>
        <v>1.55</v>
      </c>
      <c r="Q180" s="12" t="str">
        <f aca="false">IF(P180&gt;=4,"P1 立即启动",IF(P180&gt;=3.6,"P2 半年内推进",IF(P180&gt;=3.2,"P3 储备观察","P4 暂缓")))</f>
        <v>P4 暂缓</v>
      </c>
      <c r="R180" s="7" t="s">
        <v>960</v>
      </c>
      <c r="S180" s="7" t="s">
        <v>956</v>
      </c>
    </row>
    <row r="181" customFormat="false" ht="30" hidden="false" customHeight="true" outlineLevel="0" collapsed="false">
      <c r="A181" s="14" t="n">
        <v>180</v>
      </c>
      <c r="B181" s="15" t="s">
        <v>365</v>
      </c>
      <c r="C181" s="15" t="s">
        <v>461</v>
      </c>
      <c r="D181" s="15" t="s">
        <v>462</v>
      </c>
      <c r="E181" s="15" t="s">
        <v>961</v>
      </c>
      <c r="F181" s="15" t="s">
        <v>21</v>
      </c>
      <c r="G181" s="14" t="n">
        <v>2</v>
      </c>
      <c r="H181" s="15" t="s">
        <v>27</v>
      </c>
      <c r="I181" s="14" t="n">
        <v>2</v>
      </c>
      <c r="J181" s="15" t="s">
        <v>35</v>
      </c>
      <c r="K181" s="14" t="n">
        <v>1</v>
      </c>
      <c r="L181" s="15" t="s">
        <v>41</v>
      </c>
      <c r="M181" s="14" t="n">
        <v>1</v>
      </c>
      <c r="N181" s="15" t="s">
        <v>48</v>
      </c>
      <c r="O181" s="14" t="n">
        <v>1</v>
      </c>
      <c r="P181" s="16" t="n">
        <f aca="false">ROUND(G181*0.25+I181*0.25+K181*0.15+M181*0.15+O181*0.2,2)</f>
        <v>1.5</v>
      </c>
      <c r="Q181" s="14" t="str">
        <f aca="false">IF(P181&gt;=4,"P1 立即启动",IF(P181&gt;=3.6,"P2 半年内推进",IF(P181&gt;=3.2,"P3 储备观察","P4 暂缓")))</f>
        <v>P4 暂缓</v>
      </c>
      <c r="R181" s="15" t="s">
        <v>962</v>
      </c>
      <c r="S181" s="15" t="s">
        <v>963</v>
      </c>
    </row>
  </sheetData>
  <autoFilter ref="A1:S181"/>
  <conditionalFormatting sqref="P2:P181">
    <cfRule type="cellIs" priority="2" operator="greaterThanOrEqual" aboveAverage="0" equalAverage="0" bottom="0" percent="0" rank="0" text="" dxfId="7">
      <formula>4</formula>
    </cfRule>
    <cfRule type="cellIs" priority="3" operator="between" aboveAverage="0" equalAverage="0" bottom="0" percent="0" rank="0" text="" dxfId="8">
      <formula>3.6</formula>
      <formula>3.99</formula>
    </cfRule>
    <cfRule type="cellIs" priority="4" operator="lessThan" aboveAverage="0" equalAverage="0" bottom="0" percent="0" rank="0" text="" dxfId="9">
      <formula>3.2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44"/>
    <col collapsed="false" customWidth="true" hidden="false" outlineLevel="0" max="4" min="4" style="0" width="18"/>
    <col collapsed="false" customWidth="true" hidden="false" outlineLevel="0" max="5" min="5" style="0" width="12"/>
    <col collapsed="false" customWidth="true" hidden="false" outlineLevel="0" max="6" min="6" style="0" width="11"/>
    <col collapsed="false" customWidth="true" hidden="false" outlineLevel="0" max="7" min="7" style="0" width="15"/>
    <col collapsed="false" customWidth="true" hidden="false" outlineLevel="0" max="8" min="8" style="0" width="32"/>
  </cols>
  <sheetData>
    <row r="1" customFormat="false" ht="21.6" hidden="false" customHeight="false" outlineLevel="0" collapsed="false">
      <c r="A1" s="18" t="s">
        <v>964</v>
      </c>
      <c r="B1" s="18"/>
      <c r="C1" s="18"/>
      <c r="D1" s="18"/>
      <c r="E1" s="18"/>
      <c r="F1" s="18"/>
      <c r="G1" s="18"/>
      <c r="H1" s="18"/>
    </row>
    <row r="2" customFormat="false" ht="15" hidden="false" customHeight="false" outlineLevel="0" collapsed="false">
      <c r="A2" s="11" t="s">
        <v>69</v>
      </c>
      <c r="B2" s="11" t="s">
        <v>70</v>
      </c>
      <c r="C2" s="11" t="s">
        <v>73</v>
      </c>
      <c r="D2" s="11" t="s">
        <v>965</v>
      </c>
      <c r="E2" s="11" t="s">
        <v>966</v>
      </c>
      <c r="F2" s="11" t="s">
        <v>84</v>
      </c>
      <c r="G2" s="11" t="s">
        <v>85</v>
      </c>
      <c r="H2" s="11" t="s">
        <v>86</v>
      </c>
    </row>
    <row r="3" customFormat="false" ht="27.75" hidden="false" customHeight="true" outlineLevel="0" collapsed="false">
      <c r="A3" s="8" t="n">
        <f aca="false">AI高价值场景排序!A2</f>
        <v>1</v>
      </c>
      <c r="B3" s="8" t="str">
        <f aca="false">AI高价值场景排序!B2</f>
        <v>广西电动汽车服务公司</v>
      </c>
      <c r="C3" s="8" t="str">
        <f aca="false">AI高价值场景排序!E2</f>
        <v>充电站运营分析与动态价格策略</v>
      </c>
      <c r="D3" s="8" t="str">
        <f aca="false">AI高价值场景排序!F2</f>
        <v>直接创收</v>
      </c>
      <c r="E3" s="8" t="str">
        <f aca="false">AI高价值场景排序!H2</f>
        <v>每日/实时</v>
      </c>
      <c r="F3" s="8" t="n">
        <f aca="false">AI高价值场景排序!P2</f>
        <v>4.35</v>
      </c>
      <c r="G3" s="8" t="str">
        <f aca="false">AI高价值场景排序!Q2</f>
        <v>P1 立即启动</v>
      </c>
      <c r="H3" s="8" t="str">
        <f aca="false">AI高价值场景排序!R2</f>
        <v>需求预测＋动态定价</v>
      </c>
    </row>
    <row r="4" customFormat="false" ht="27.75" hidden="false" customHeight="true" outlineLevel="0" collapsed="false">
      <c r="A4" s="17" t="n">
        <f aca="false">AI高价值场景排序!A3</f>
        <v>2</v>
      </c>
      <c r="B4" s="17" t="str">
        <f aca="false">AI高价值场景排序!B3</f>
        <v>市场营销部</v>
      </c>
      <c r="C4" s="17" t="str">
        <f aca="false">AI高价值场景排序!E3</f>
        <v>台区线损分析与治理定位</v>
      </c>
      <c r="D4" s="17" t="str">
        <f aca="false">AI高价值场景排序!F3</f>
        <v>直接创收</v>
      </c>
      <c r="E4" s="17" t="str">
        <f aca="false">AI高价值场景排序!H3</f>
        <v>每日/实时</v>
      </c>
      <c r="F4" s="17" t="n">
        <f aca="false">AI高价值场景排序!P3</f>
        <v>4.15</v>
      </c>
      <c r="G4" s="17" t="str">
        <f aca="false">AI高价值场景排序!Q3</f>
        <v>P1 立即启动</v>
      </c>
      <c r="H4" s="17" t="str">
        <f aca="false">AI高价值场景排序!R3</f>
        <v>电气拓扑校验＋异常归因模型</v>
      </c>
    </row>
    <row r="5" customFormat="false" ht="27.75" hidden="false" customHeight="true" outlineLevel="0" collapsed="false">
      <c r="A5" s="8" t="n">
        <f aca="false">AI高价值场景排序!A4</f>
        <v>3</v>
      </c>
      <c r="B5" s="8" t="str">
        <f aca="false">AI高价值场景排序!B4</f>
        <v>广西新电力投资集团（40家县企）</v>
      </c>
      <c r="C5" s="8" t="str">
        <f aca="false">AI高价值场景排序!E4</f>
        <v>农网台区线损治理与窃电定位</v>
      </c>
      <c r="D5" s="8" t="str">
        <f aca="false">AI高价值场景排序!F4</f>
        <v>直接创收</v>
      </c>
      <c r="E5" s="8" t="str">
        <f aca="false">AI高价值场景排序!H4</f>
        <v>每日/实时</v>
      </c>
      <c r="F5" s="8" t="n">
        <f aca="false">AI高价值场景排序!P4</f>
        <v>4.15</v>
      </c>
      <c r="G5" s="8" t="str">
        <f aca="false">AI高价值场景排序!Q4</f>
        <v>P1 立即启动</v>
      </c>
      <c r="H5" s="8" t="str">
        <f aca="false">AI高价值场景排序!R4</f>
        <v>台区拓扑校验＋异常用户定位</v>
      </c>
    </row>
    <row r="6" customFormat="false" ht="27.75" hidden="false" customHeight="true" outlineLevel="0" collapsed="false">
      <c r="A6" s="17" t="n">
        <f aca="false">AI高价值场景排序!A5</f>
        <v>4</v>
      </c>
      <c r="B6" s="17" t="str">
        <f aca="false">AI高价值场景排序!B5</f>
        <v>地市供电局（14个）</v>
      </c>
      <c r="C6" s="17" t="str">
        <f aca="false">AI高价值场景排序!E5</f>
        <v>台区片区服务、走访与用电潜力挖掘</v>
      </c>
      <c r="D6" s="17" t="str">
        <f aca="false">AI高价值场景排序!F5</f>
        <v>直接减损/增收回</v>
      </c>
      <c r="E6" s="17" t="str">
        <f aca="false">AI高价值场景排序!H5</f>
        <v>每日/实时</v>
      </c>
      <c r="F6" s="17" t="n">
        <f aca="false">AI高价值场景排序!P5</f>
        <v>4.1</v>
      </c>
      <c r="G6" s="17" t="str">
        <f aca="false">AI高价值场景排序!Q5</f>
        <v>P1 立即启动</v>
      </c>
      <c r="H6" s="17" t="str">
        <f aca="false">AI高价值场景排序!R5</f>
        <v>客户画像＋走访任务推荐</v>
      </c>
    </row>
    <row r="7" customFormat="false" ht="27.75" hidden="false" customHeight="true" outlineLevel="0" collapsed="false">
      <c r="A7" s="8" t="n">
        <f aca="false">AI高价值场景排序!A6</f>
        <v>5</v>
      </c>
      <c r="B7" s="8" t="str">
        <f aca="false">AI高价值场景排序!B6</f>
        <v>地市供电局（14个）</v>
      </c>
      <c r="C7" s="8" t="str">
        <f aca="false">AI高价值场景排序!E6</f>
        <v>用电报装现场勘查与方案初判</v>
      </c>
      <c r="D7" s="8" t="str">
        <f aca="false">AI高价值场景排序!F6</f>
        <v>直接减损/增收回</v>
      </c>
      <c r="E7" s="8" t="str">
        <f aca="false">AI高价值场景排序!H6</f>
        <v>每日/实时</v>
      </c>
      <c r="F7" s="8" t="n">
        <f aca="false">AI高价值场景排序!P6</f>
        <v>4.1</v>
      </c>
      <c r="G7" s="8" t="str">
        <f aca="false">AI高价值场景排序!Q6</f>
        <v>P1 立即启动</v>
      </c>
      <c r="H7" s="8" t="str">
        <f aca="false">AI高价值场景排序!R6</f>
        <v>移动端影像识别＋方案推荐</v>
      </c>
    </row>
    <row r="8" customFormat="false" ht="27.75" hidden="false" customHeight="true" outlineLevel="0" collapsed="false">
      <c r="A8" s="17" t="n">
        <f aca="false">AI高价值场景排序!A7</f>
        <v>6</v>
      </c>
      <c r="B8" s="17" t="str">
        <f aca="false">AI高价值场景排序!B7</f>
        <v>市场营销部</v>
      </c>
      <c r="C8" s="17" t="str">
        <f aca="false">AI高价值场景排序!E7</f>
        <v>业扩报装受理、流程流转与超期预警</v>
      </c>
      <c r="D8" s="17" t="str">
        <f aca="false">AI高价值场景排序!F7</f>
        <v>直接减损/增收回</v>
      </c>
      <c r="E8" s="17" t="str">
        <f aca="false">AI高价值场景排序!H7</f>
        <v>每日/实时</v>
      </c>
      <c r="F8" s="17" t="n">
        <f aca="false">AI高价值场景排序!P7</f>
        <v>4.1</v>
      </c>
      <c r="G8" s="17" t="str">
        <f aca="false">AI高价值场景排序!Q7</f>
        <v>P1 立即启动</v>
      </c>
      <c r="H8" s="17" t="str">
        <f aca="false">AI高价值场景排序!R7</f>
        <v>流程智能体＋OCR资料核验</v>
      </c>
    </row>
    <row r="9" customFormat="false" ht="27.75" hidden="false" customHeight="true" outlineLevel="0" collapsed="false">
      <c r="A9" s="8" t="n">
        <f aca="false">AI高价值场景排序!A8</f>
        <v>7</v>
      </c>
      <c r="B9" s="8" t="str">
        <f aca="false">AI高价值场景排序!B8</f>
        <v>市场营销部</v>
      </c>
      <c r="C9" s="8" t="str">
        <f aca="false">AI高价值场景排序!E8</f>
        <v>重点客户走访与增供扩销机会挖掘</v>
      </c>
      <c r="D9" s="8" t="str">
        <f aca="false">AI高价值场景排序!F8</f>
        <v>直接创收</v>
      </c>
      <c r="E9" s="8" t="str">
        <f aca="false">AI高价值场景排序!H8</f>
        <v>每周</v>
      </c>
      <c r="F9" s="8" t="n">
        <f aca="false">AI高价值场景排序!P8</f>
        <v>4.1</v>
      </c>
      <c r="G9" s="8" t="str">
        <f aca="false">AI高价值场景排序!Q8</f>
        <v>P1 立即启动</v>
      </c>
      <c r="H9" s="8" t="str">
        <f aca="false">AI高价值场景排序!R8</f>
        <v>行业用电画像＋潜力客户推荐</v>
      </c>
    </row>
    <row r="10" customFormat="false" ht="27.75" hidden="false" customHeight="true" outlineLevel="0" collapsed="false">
      <c r="A10" s="17" t="n">
        <f aca="false">AI高价值场景排序!A9</f>
        <v>8</v>
      </c>
      <c r="B10" s="17" t="str">
        <f aca="false">AI高价值场景排序!B9</f>
        <v>生产技术部</v>
      </c>
      <c r="C10" s="17" t="str">
        <f aca="false">AI高价值场景排序!E9</f>
        <v>线路通道外破隐患识别（施工机械/树障）</v>
      </c>
      <c r="D10" s="17" t="str">
        <f aca="false">AI高价值场景排序!F9</f>
        <v>直接减损/增收回</v>
      </c>
      <c r="E10" s="17" t="str">
        <f aca="false">AI高价值场景排序!H9</f>
        <v>每日/实时</v>
      </c>
      <c r="F10" s="17" t="n">
        <f aca="false">AI高价值场景排序!P9</f>
        <v>4.1</v>
      </c>
      <c r="G10" s="17" t="str">
        <f aca="false">AI高价值场景排序!Q9</f>
        <v>P1 立即启动</v>
      </c>
      <c r="H10" s="17" t="str">
        <f aca="false">AI高价值场景排序!R9</f>
        <v>视觉目标检测＋边缘告警</v>
      </c>
    </row>
    <row r="11" customFormat="false" ht="27.75" hidden="false" customHeight="true" outlineLevel="0" collapsed="false">
      <c r="A11" s="8" t="n">
        <f aca="false">AI高价值场景排序!A10</f>
        <v>9</v>
      </c>
      <c r="B11" s="8" t="str">
        <f aca="false">AI高价值场景排序!B10</f>
        <v>计量中心</v>
      </c>
      <c r="C11" s="8" t="str">
        <f aca="false">AI高价值场景排序!E10</f>
        <v>用电信息采集成功率提升与异常处理</v>
      </c>
      <c r="D11" s="8" t="str">
        <f aca="false">AI高价值场景排序!F10</f>
        <v>直接减损/增收回</v>
      </c>
      <c r="E11" s="8" t="str">
        <f aca="false">AI高价值场景排序!H10</f>
        <v>每日/实时</v>
      </c>
      <c r="F11" s="8" t="n">
        <f aca="false">AI高价值场景排序!P10</f>
        <v>4.1</v>
      </c>
      <c r="G11" s="8" t="str">
        <f aca="false">AI高价值场景排序!Q10</f>
        <v>P1 立即启动</v>
      </c>
      <c r="H11" s="8" t="str">
        <f aca="false">AI高价值场景排序!R10</f>
        <v>通信异常诊断＋根因定位</v>
      </c>
    </row>
    <row r="12" customFormat="false" ht="27.75" hidden="false" customHeight="true" outlineLevel="0" collapsed="false">
      <c r="A12" s="17" t="n">
        <f aca="false">AI高价值场景排序!A11</f>
        <v>10</v>
      </c>
      <c r="B12" s="17" t="str">
        <f aca="false">AI高价值场景排序!B11</f>
        <v>人力资源部</v>
      </c>
      <c r="C12" s="17" t="str">
        <f aca="false">AI高价值场景排序!E11</f>
        <v>人资制度与政策智能问答</v>
      </c>
      <c r="D12" s="17" t="str">
        <f aca="false">AI高价值场景排序!F11</f>
        <v>风险合规避损</v>
      </c>
      <c r="E12" s="17" t="str">
        <f aca="false">AI高价值场景排序!H11</f>
        <v>每日/实时</v>
      </c>
      <c r="F12" s="17" t="n">
        <f aca="false">AI高价值场景排序!P11</f>
        <v>3.95</v>
      </c>
      <c r="G12" s="17" t="str">
        <f aca="false">AI高价值场景排序!Q11</f>
        <v>P2 半年内推进</v>
      </c>
      <c r="H12" s="17" t="str">
        <f aca="false">AI高价值场景排序!R11</f>
        <v>RAG知识问答</v>
      </c>
    </row>
    <row r="13" customFormat="false" ht="27.75" hidden="false" customHeight="true" outlineLevel="0" collapsed="false">
      <c r="A13" s="8" t="n">
        <f aca="false">AI高价值场景排序!A12</f>
        <v>11</v>
      </c>
      <c r="B13" s="8" t="str">
        <f aca="false">AI高价值场景排序!B12</f>
        <v>市场营销部</v>
      </c>
      <c r="C13" s="8" t="str">
        <f aca="false">AI高价值场景排序!E12</f>
        <v>电费核算差错稽核与电量异常识别</v>
      </c>
      <c r="D13" s="8" t="str">
        <f aca="false">AI高价值场景排序!F12</f>
        <v>直接减损/增收回</v>
      </c>
      <c r="E13" s="8" t="str">
        <f aca="false">AI高价值场景排序!H12</f>
        <v>每日/实时</v>
      </c>
      <c r="F13" s="8" t="n">
        <f aca="false">AI高价值场景排序!P12</f>
        <v>3.95</v>
      </c>
      <c r="G13" s="8" t="str">
        <f aca="false">AI高价值场景排序!Q12</f>
        <v>P2 半年内推进</v>
      </c>
      <c r="H13" s="8" t="str">
        <f aca="false">AI高价值场景排序!R12</f>
        <v>异常检测＋规则比对</v>
      </c>
    </row>
    <row r="14" customFormat="false" ht="27.75" hidden="false" customHeight="true" outlineLevel="0" collapsed="false">
      <c r="A14" s="17" t="n">
        <f aca="false">AI高价值场景排序!A13</f>
        <v>12</v>
      </c>
      <c r="B14" s="17" t="str">
        <f aca="false">AI高价值场景排序!B13</f>
        <v>市场营销部</v>
      </c>
      <c r="C14" s="17" t="str">
        <f aca="false">AI高价值场景排序!E13</f>
        <v>客户欠费风险预警与差异化催收</v>
      </c>
      <c r="D14" s="17" t="str">
        <f aca="false">AI高价值场景排序!F13</f>
        <v>直接创收</v>
      </c>
      <c r="E14" s="17" t="str">
        <f aca="false">AI高价值场景排序!H13</f>
        <v>每周</v>
      </c>
      <c r="F14" s="17" t="n">
        <f aca="false">AI高价值场景排序!P13</f>
        <v>3.95</v>
      </c>
      <c r="G14" s="17" t="str">
        <f aca="false">AI高价值场景排序!Q13</f>
        <v>P2 半年内推进</v>
      </c>
      <c r="H14" s="17" t="str">
        <f aca="false">AI高价值场景排序!R13</f>
        <v>信用评分＋违约概率预测</v>
      </c>
    </row>
    <row r="15" customFormat="false" ht="27.75" hidden="false" customHeight="true" outlineLevel="0" collapsed="false">
      <c r="A15" s="8" t="n">
        <f aca="false">AI高价值场景排序!A14</f>
        <v>13</v>
      </c>
      <c r="B15" s="8" t="str">
        <f aca="false">AI高价值场景排序!B14</f>
        <v>市场营销部</v>
      </c>
      <c r="C15" s="8" t="str">
        <f aca="false">AI高价值场景排序!E14</f>
        <v>客户信用评价与风险分级</v>
      </c>
      <c r="D15" s="8" t="str">
        <f aca="false">AI高价值场景排序!F14</f>
        <v>直接创收</v>
      </c>
      <c r="E15" s="8" t="str">
        <f aca="false">AI高价值场景排序!H14</f>
        <v>每周</v>
      </c>
      <c r="F15" s="8" t="n">
        <f aca="false">AI高价值场景排序!P14</f>
        <v>3.95</v>
      </c>
      <c r="G15" s="8" t="str">
        <f aca="false">AI高价值场景排序!Q14</f>
        <v>P2 半年内推进</v>
      </c>
      <c r="H15" s="8" t="str">
        <f aca="false">AI高价值场景排序!R14</f>
        <v>信用评分卡＋外部工商数据融合</v>
      </c>
    </row>
    <row r="16" customFormat="false" ht="27.75" hidden="false" customHeight="true" outlineLevel="0" collapsed="false">
      <c r="A16" s="17" t="n">
        <f aca="false">AI高价值场景排序!A15</f>
        <v>14</v>
      </c>
      <c r="B16" s="17" t="str">
        <f aca="false">AI高价值场景排序!B15</f>
        <v>市场营销部</v>
      </c>
      <c r="C16" s="17" t="str">
        <f aca="false">AI高价值场景排序!E15</f>
        <v>反窃电与异常用电行为稽查</v>
      </c>
      <c r="D16" s="17" t="str">
        <f aca="false">AI高价值场景排序!F15</f>
        <v>直接创收</v>
      </c>
      <c r="E16" s="17" t="str">
        <f aca="false">AI高价值场景排序!H15</f>
        <v>每周</v>
      </c>
      <c r="F16" s="17" t="n">
        <f aca="false">AI高价值场景排序!P15</f>
        <v>3.9</v>
      </c>
      <c r="G16" s="17" t="str">
        <f aca="false">AI高价值场景排序!Q15</f>
        <v>P2 半年内推进</v>
      </c>
      <c r="H16" s="17" t="str">
        <f aca="false">AI高价值场景排序!R15</f>
        <v>用电曲线聚类＋图关联分析</v>
      </c>
    </row>
    <row r="17" customFormat="false" ht="27.75" hidden="false" customHeight="true" outlineLevel="0" collapsed="false">
      <c r="A17" s="8" t="n">
        <f aca="false">AI高价值场景排序!A16</f>
        <v>15</v>
      </c>
      <c r="B17" s="8" t="str">
        <f aca="false">AI高价值场景排序!B16</f>
        <v>战略规划部</v>
      </c>
      <c r="C17" s="8" t="str">
        <f aca="false">AI高价值场景排序!E16</f>
        <v>台区级新能源承载力评估与接入序位安排</v>
      </c>
      <c r="D17" s="8" t="str">
        <f aca="false">AI高价值场景排序!F16</f>
        <v>直接创收</v>
      </c>
      <c r="E17" s="8" t="str">
        <f aca="false">AI高价值场景排序!H16</f>
        <v>每周</v>
      </c>
      <c r="F17" s="8" t="n">
        <f aca="false">AI高价值场景排序!P16</f>
        <v>3.9</v>
      </c>
      <c r="G17" s="8" t="str">
        <f aca="false">AI高价值场景排序!Q16</f>
        <v>P2 半年内推进</v>
      </c>
      <c r="H17" s="8" t="str">
        <f aca="false">AI高价值场景排序!R16</f>
        <v>承载力仿真＋越限概率预测</v>
      </c>
    </row>
    <row r="18" customFormat="false" ht="27.75" hidden="false" customHeight="true" outlineLevel="0" collapsed="false">
      <c r="A18" s="17" t="n">
        <f aca="false">AI高价值场景排序!A17</f>
        <v>16</v>
      </c>
      <c r="B18" s="17" t="str">
        <f aca="false">AI高价值场景排序!B17</f>
        <v>基建部</v>
      </c>
      <c r="C18" s="17" t="str">
        <f aca="false">AI高价值场景排序!E17</f>
        <v>施工现场作业违章视频智能识别</v>
      </c>
      <c r="D18" s="17" t="str">
        <f aca="false">AI高价值场景排序!F17</f>
        <v>降本增效</v>
      </c>
      <c r="E18" s="17" t="str">
        <f aca="false">AI高价值场景排序!H17</f>
        <v>每日/实时</v>
      </c>
      <c r="F18" s="17" t="n">
        <f aca="false">AI高价值场景排序!P17</f>
        <v>3.85</v>
      </c>
      <c r="G18" s="17" t="str">
        <f aca="false">AI高价值场景排序!Q17</f>
        <v>P2 半年内推进</v>
      </c>
      <c r="H18" s="17" t="str">
        <f aca="false">AI高价值场景排序!R17</f>
        <v>视觉行为识别＋边缘部署</v>
      </c>
    </row>
    <row r="19" customFormat="false" ht="27.75" hidden="false" customHeight="true" outlineLevel="0" collapsed="false">
      <c r="A19" s="8" t="n">
        <f aca="false">AI高价值场景排序!A18</f>
        <v>17</v>
      </c>
      <c r="B19" s="8" t="str">
        <f aca="false">AI高价值场景排序!B18</f>
        <v>市场营销部</v>
      </c>
      <c r="C19" s="8" t="str">
        <f aca="false">AI高价值场景排序!E18</f>
        <v>计量装置故障诊断与轮换计划优化</v>
      </c>
      <c r="D19" s="8" t="str">
        <f aca="false">AI高价值场景排序!F18</f>
        <v>直接减损/增收回</v>
      </c>
      <c r="E19" s="8" t="str">
        <f aca="false">AI高价值场景排序!H18</f>
        <v>每周</v>
      </c>
      <c r="F19" s="8" t="n">
        <f aca="false">AI高价值场景排序!P18</f>
        <v>3.85</v>
      </c>
      <c r="G19" s="8" t="str">
        <f aca="false">AI高价值场景排序!Q18</f>
        <v>P2 半年内推进</v>
      </c>
      <c r="H19" s="8" t="str">
        <f aca="false">AI高价值场景排序!R18</f>
        <v>设备故障分类＋寿命预测</v>
      </c>
    </row>
    <row r="20" customFormat="false" ht="27.75" hidden="false" customHeight="true" outlineLevel="0" collapsed="false">
      <c r="A20" s="17" t="n">
        <f aca="false">AI高价值场景排序!A19</f>
        <v>18</v>
      </c>
      <c r="B20" s="17" t="str">
        <f aca="false">AI高价值场景排序!B19</f>
        <v>广西电动汽车服务公司</v>
      </c>
      <c r="C20" s="17" t="str">
        <f aca="false">AI高价值场景排序!E19</f>
        <v>充电桩故障预测与远程运维</v>
      </c>
      <c r="D20" s="17" t="str">
        <f aca="false">AI高价值场景排序!F19</f>
        <v>直接减损/增收回</v>
      </c>
      <c r="E20" s="17" t="str">
        <f aca="false">AI高价值场景排序!H19</f>
        <v>每周</v>
      </c>
      <c r="F20" s="17" t="n">
        <f aca="false">AI高价值场景排序!P19</f>
        <v>3.85</v>
      </c>
      <c r="G20" s="17" t="str">
        <f aca="false">AI高价值场景排序!Q19</f>
        <v>P2 半年内推进</v>
      </c>
      <c r="H20" s="17" t="str">
        <f aca="false">AI高价值场景排序!R19</f>
        <v>故障预测＋远程诊断</v>
      </c>
    </row>
    <row r="21" customFormat="false" ht="27.75" hidden="false" customHeight="true" outlineLevel="0" collapsed="false">
      <c r="A21" s="8" t="n">
        <f aca="false">AI高价值场景排序!A20</f>
        <v>19</v>
      </c>
      <c r="B21" s="8" t="str">
        <f aca="false">AI高价值场景排序!B20</f>
        <v>广西电网能源科技公司</v>
      </c>
      <c r="C21" s="8" t="str">
        <f aca="false">AI高价值场景排序!E20</f>
        <v>综合能源项目机会识别与收益测算</v>
      </c>
      <c r="D21" s="8" t="str">
        <f aca="false">AI高价值场景排序!F20</f>
        <v>直接创收</v>
      </c>
      <c r="E21" s="8" t="str">
        <f aca="false">AI高价值场景排序!H20</f>
        <v>每月</v>
      </c>
      <c r="F21" s="8" t="n">
        <f aca="false">AI高价值场景排序!P20</f>
        <v>3.85</v>
      </c>
      <c r="G21" s="8" t="str">
        <f aca="false">AI高价值场景排序!Q20</f>
        <v>P2 半年内推进</v>
      </c>
      <c r="H21" s="8" t="str">
        <f aca="false">AI高价值场景排序!R20</f>
        <v>行业能耗画像＋收益测算模型</v>
      </c>
    </row>
    <row r="22" customFormat="false" ht="27.75" hidden="false" customHeight="true" outlineLevel="0" collapsed="false">
      <c r="A22" s="17" t="n">
        <f aca="false">AI高价值场景排序!A21</f>
        <v>20</v>
      </c>
      <c r="B22" s="17" t="str">
        <f aca="false">AI高价值场景排序!B21</f>
        <v>广西电网能源科技公司</v>
      </c>
      <c r="C22" s="17" t="str">
        <f aca="false">AI高价值场景排序!E21</f>
        <v>用户能效诊断与节能改造方案生成</v>
      </c>
      <c r="D22" s="17" t="str">
        <f aca="false">AI高价值场景排序!F21</f>
        <v>直接创收</v>
      </c>
      <c r="E22" s="17" t="str">
        <f aca="false">AI高价值场景排序!H21</f>
        <v>每月</v>
      </c>
      <c r="F22" s="17" t="n">
        <f aca="false">AI高价值场景排序!P21</f>
        <v>3.85</v>
      </c>
      <c r="G22" s="17" t="str">
        <f aca="false">AI高价值场景排序!Q21</f>
        <v>P2 半年内推进</v>
      </c>
      <c r="H22" s="17" t="str">
        <f aca="false">AI高价值场景排序!R21</f>
        <v>能耗基准对标＋方案生成</v>
      </c>
    </row>
    <row r="23" customFormat="false" ht="27.75" hidden="false" customHeight="true" outlineLevel="0" collapsed="false">
      <c r="A23" s="8" t="n">
        <f aca="false">AI高价值场景排序!A22</f>
        <v>21</v>
      </c>
      <c r="B23" s="8" t="str">
        <f aca="false">AI高价值场景排序!B22</f>
        <v>生产技术部</v>
      </c>
      <c r="C23" s="8" t="str">
        <f aca="false">AI高价值场景排序!E22</f>
        <v>输电线路机巡影像缺陷智能识别</v>
      </c>
      <c r="D23" s="8" t="str">
        <f aca="false">AI高价值场景排序!F22</f>
        <v>降本增效</v>
      </c>
      <c r="E23" s="8" t="str">
        <f aca="false">AI高价值场景排序!H22</f>
        <v>每日/实时</v>
      </c>
      <c r="F23" s="8" t="n">
        <f aca="false">AI高价值场景排序!P22</f>
        <v>3.85</v>
      </c>
      <c r="G23" s="8" t="str">
        <f aca="false">AI高价值场景排序!Q22</f>
        <v>P2 半年内推进</v>
      </c>
      <c r="H23" s="8" t="str">
        <f aca="false">AI高价值场景排序!R22</f>
        <v>多模态视觉大模型</v>
      </c>
    </row>
    <row r="24" customFormat="false" ht="27.75" hidden="false" customHeight="true" outlineLevel="0" collapsed="false">
      <c r="A24" s="17" t="n">
        <f aca="false">AI高价值场景排序!A23</f>
        <v>22</v>
      </c>
      <c r="B24" s="17" t="str">
        <f aca="false">AI高价值场景排序!B23</f>
        <v>生产技术部</v>
      </c>
      <c r="C24" s="17" t="str">
        <f aca="false">AI高价值场景排序!E23</f>
        <v>缺陷闭环管理与人工复核减负</v>
      </c>
      <c r="D24" s="17" t="str">
        <f aca="false">AI高价值场景排序!F23</f>
        <v>降本增效</v>
      </c>
      <c r="E24" s="17" t="str">
        <f aca="false">AI高价值场景排序!H23</f>
        <v>每日/实时</v>
      </c>
      <c r="F24" s="17" t="n">
        <f aca="false">AI高价值场景排序!P23</f>
        <v>3.85</v>
      </c>
      <c r="G24" s="17" t="str">
        <f aca="false">AI高价值场景排序!Q23</f>
        <v>P2 半年内推进</v>
      </c>
      <c r="H24" s="17" t="str">
        <f aca="false">AI高价值场景排序!R23</f>
        <v>置信度分层＋自动复核</v>
      </c>
    </row>
    <row r="25" customFormat="false" ht="27.75" hidden="false" customHeight="true" outlineLevel="0" collapsed="false">
      <c r="A25" s="8" t="n">
        <f aca="false">AI高价值场景排序!A24</f>
        <v>23</v>
      </c>
      <c r="B25" s="8" t="str">
        <f aca="false">AI高价值场景排序!B24</f>
        <v>市场营销部</v>
      </c>
      <c r="C25" s="8" t="str">
        <f aca="false">AI高价值场景排序!E24</f>
        <v>电能替代项目机会识别与方案测算</v>
      </c>
      <c r="D25" s="8" t="str">
        <f aca="false">AI高价值场景排序!F24</f>
        <v>直接创收</v>
      </c>
      <c r="E25" s="8" t="str">
        <f aca="false">AI高价值场景排序!H24</f>
        <v>每月</v>
      </c>
      <c r="F25" s="8" t="n">
        <f aca="false">AI高价值场景排序!P24</f>
        <v>3.85</v>
      </c>
      <c r="G25" s="8" t="str">
        <f aca="false">AI高价值场景排序!Q24</f>
        <v>P2 半年内推进</v>
      </c>
      <c r="H25" s="8" t="str">
        <f aca="false">AI高价值场景排序!R24</f>
        <v>行业能耗基准库＋替代测算模型</v>
      </c>
    </row>
    <row r="26" customFormat="false" ht="27.75" hidden="false" customHeight="true" outlineLevel="0" collapsed="false">
      <c r="A26" s="17" t="n">
        <f aca="false">AI高价值场景排序!A25</f>
        <v>24</v>
      </c>
      <c r="B26" s="17" t="str">
        <f aca="false">AI高价值场景排序!B25</f>
        <v>市场营销部</v>
      </c>
      <c r="C26" s="17" t="str">
        <f aca="false">AI高价值场景排序!E25</f>
        <v>供电方案（接入方案）自动编制与答复</v>
      </c>
      <c r="D26" s="17" t="str">
        <f aca="false">AI高价值场景排序!F25</f>
        <v>直接减损/增收回</v>
      </c>
      <c r="E26" s="17" t="str">
        <f aca="false">AI高价值场景排序!H25</f>
        <v>每日/实时</v>
      </c>
      <c r="F26" s="17" t="n">
        <f aca="false">AI高价值场景排序!P25</f>
        <v>3.75</v>
      </c>
      <c r="G26" s="17" t="str">
        <f aca="false">AI高价值场景排序!Q25</f>
        <v>P2 半年内推进</v>
      </c>
      <c r="H26" s="17" t="str">
        <f aca="false">AI高价值场景排序!R25</f>
        <v>规则引擎＋网架拓扑计算＋大模型生成</v>
      </c>
    </row>
    <row r="27" customFormat="false" ht="27.75" hidden="false" customHeight="true" outlineLevel="0" collapsed="false">
      <c r="A27" s="8" t="n">
        <f aca="false">AI高价值场景排序!A26</f>
        <v>25</v>
      </c>
      <c r="B27" s="8" t="str">
        <f aca="false">AI高价值场景排序!B26</f>
        <v>市场营销部</v>
      </c>
      <c r="C27" s="8" t="str">
        <f aca="false">AI高价值场景排序!E26</f>
        <v>分布式光伏并网受理、计量与结算</v>
      </c>
      <c r="D27" s="8" t="str">
        <f aca="false">AI高价值场景排序!F26</f>
        <v>直接减损/增收回</v>
      </c>
      <c r="E27" s="8" t="str">
        <f aca="false">AI高价值场景排序!H26</f>
        <v>每日/实时</v>
      </c>
      <c r="F27" s="8" t="n">
        <f aca="false">AI高价值场景排序!P26</f>
        <v>3.75</v>
      </c>
      <c r="G27" s="8" t="str">
        <f aca="false">AI高价值场景排序!Q26</f>
        <v>P2 半年内推进</v>
      </c>
      <c r="H27" s="8" t="str">
        <f aca="false">AI高价值场景排序!R26</f>
        <v>并网条件自动校验＋结算核算</v>
      </c>
    </row>
    <row r="28" customFormat="false" ht="27.75" hidden="false" customHeight="true" outlineLevel="0" collapsed="false">
      <c r="A28" s="17" t="n">
        <f aca="false">AI高价值场景排序!A27</f>
        <v>26</v>
      </c>
      <c r="B28" s="17" t="str">
        <f aca="false">AI高价值场景排序!B27</f>
        <v>广西电力交易中心</v>
      </c>
      <c r="C28" s="17" t="str">
        <f aca="false">AI高价值场景排序!E27</f>
        <v>绿电与绿证交易组织及跨区撮合</v>
      </c>
      <c r="D28" s="17" t="str">
        <f aca="false">AI高价值场景排序!F27</f>
        <v>直接创收</v>
      </c>
      <c r="E28" s="17" t="str">
        <f aca="false">AI高价值场景排序!H27</f>
        <v>每周</v>
      </c>
      <c r="F28" s="17" t="n">
        <f aca="false">AI高价值场景排序!P27</f>
        <v>3.75</v>
      </c>
      <c r="G28" s="17" t="str">
        <f aca="false">AI高价值场景排序!Q27</f>
        <v>P2 半年内推进</v>
      </c>
      <c r="H28" s="17" t="str">
        <f aca="false">AI高价值场景排序!R27</f>
        <v>供需匹配＋价格预测</v>
      </c>
    </row>
    <row r="29" customFormat="false" ht="27.75" hidden="false" customHeight="true" outlineLevel="0" collapsed="false">
      <c r="A29" s="8" t="n">
        <f aca="false">AI高价值场景排序!A28</f>
        <v>27</v>
      </c>
      <c r="B29" s="8" t="str">
        <f aca="false">AI高价值场景排序!B28</f>
        <v>广西送变电建设公司</v>
      </c>
      <c r="C29" s="8" t="str">
        <f aca="false">AI高价值场景排序!E28</f>
        <v>施工机械、人员与工序智能调度</v>
      </c>
      <c r="D29" s="8" t="str">
        <f aca="false">AI高价值场景排序!F28</f>
        <v>直接减损/增收回</v>
      </c>
      <c r="E29" s="8" t="str">
        <f aca="false">AI高价值场景排序!H28</f>
        <v>每日/实时</v>
      </c>
      <c r="F29" s="8" t="n">
        <f aca="false">AI高价值场景排序!P28</f>
        <v>3.75</v>
      </c>
      <c r="G29" s="8" t="str">
        <f aca="false">AI高价值场景排序!Q28</f>
        <v>P2 半年内推进</v>
      </c>
      <c r="H29" s="8" t="str">
        <f aca="false">AI高价值场景排序!R28</f>
        <v>资源调度优化＋进度仿真</v>
      </c>
    </row>
    <row r="30" customFormat="false" ht="27.75" hidden="false" customHeight="true" outlineLevel="0" collapsed="false">
      <c r="A30" s="17" t="n">
        <f aca="false">AI高价值场景排序!A29</f>
        <v>28</v>
      </c>
      <c r="B30" s="17" t="str">
        <f aca="false">AI高价值场景排序!B29</f>
        <v>党建工作部（宣传）</v>
      </c>
      <c r="C30" s="17" t="str">
        <f aca="false">AI高价值场景排序!E29</f>
        <v>新闻稿件、外宣素材与融媒体内容生产</v>
      </c>
      <c r="D30" s="17" t="str">
        <f aca="false">AI高价值场景排序!F29</f>
        <v>纯支出型职能</v>
      </c>
      <c r="E30" s="17" t="str">
        <f aca="false">AI高价值场景排序!H29</f>
        <v>每日/实时</v>
      </c>
      <c r="F30" s="17" t="n">
        <f aca="false">AI高价值场景排序!P29</f>
        <v>3.7</v>
      </c>
      <c r="G30" s="17" t="str">
        <f aca="false">AI高价值场景排序!Q29</f>
        <v>P2 半年内推进</v>
      </c>
      <c r="H30" s="17" t="str">
        <f aca="false">AI高价值场景排序!R29</f>
        <v>文案生成＋素材检索</v>
      </c>
    </row>
    <row r="31" customFormat="false" ht="27.75" hidden="false" customHeight="true" outlineLevel="0" collapsed="false">
      <c r="A31" s="8" t="n">
        <f aca="false">AI高价值场景排序!A30</f>
        <v>29</v>
      </c>
      <c r="B31" s="8" t="str">
        <f aca="false">AI高价值场景排序!B30</f>
        <v>地市供电局（14个）</v>
      </c>
      <c r="C31" s="8" t="str">
        <f aca="false">AI高价值场景排序!E30</f>
        <v>供电所营配业务综合受理与办理</v>
      </c>
      <c r="D31" s="8" t="str">
        <f aca="false">AI高价值场景排序!F30</f>
        <v>降本增效</v>
      </c>
      <c r="E31" s="8" t="str">
        <f aca="false">AI高价值场景排序!H30</f>
        <v>每日/实时</v>
      </c>
      <c r="F31" s="8" t="n">
        <f aca="false">AI高价值场景排序!P30</f>
        <v>3.7</v>
      </c>
      <c r="G31" s="8" t="str">
        <f aca="false">AI高价值场景排序!Q30</f>
        <v>P2 半年内推进</v>
      </c>
      <c r="H31" s="8" t="str">
        <f aca="false">AI高价值场景排序!R30</f>
        <v>业务智能体＋知识问答</v>
      </c>
    </row>
    <row r="32" customFormat="false" ht="27.75" hidden="false" customHeight="true" outlineLevel="0" collapsed="false">
      <c r="A32" s="17" t="n">
        <f aca="false">AI高价值场景排序!A31</f>
        <v>30</v>
      </c>
      <c r="B32" s="17" t="str">
        <f aca="false">AI高价值场景排序!B31</f>
        <v>地市供电局（14个）</v>
      </c>
      <c r="C32" s="17" t="str">
        <f aca="false">AI高价值场景排序!E31</f>
        <v>抢修班组调度与抢修车辆定位调派</v>
      </c>
      <c r="D32" s="17" t="str">
        <f aca="false">AI高价值场景排序!F31</f>
        <v>降本增效</v>
      </c>
      <c r="E32" s="17" t="str">
        <f aca="false">AI高价值场景排序!H31</f>
        <v>每日/实时</v>
      </c>
      <c r="F32" s="17" t="n">
        <f aca="false">AI高价值场景排序!P31</f>
        <v>3.7</v>
      </c>
      <c r="G32" s="17" t="str">
        <f aca="false">AI高价值场景排序!Q31</f>
        <v>P2 半年内推进</v>
      </c>
      <c r="H32" s="17" t="str">
        <f aca="false">AI高价值场景排序!R31</f>
        <v>路径优化＋资源调派</v>
      </c>
    </row>
    <row r="33" customFormat="false" ht="27.75" hidden="false" customHeight="true" outlineLevel="0" collapsed="false">
      <c r="A33" s="8" t="n">
        <f aca="false">AI高价值场景排序!A32</f>
        <v>31</v>
      </c>
      <c r="B33" s="8" t="str">
        <f aca="false">AI高价值场景排序!B32</f>
        <v>广西新电力投资集团（40家县企）</v>
      </c>
      <c r="C33" s="8" t="str">
        <f aca="false">AI高价值场景排序!E32</f>
        <v>县域供电所营销业务标准化与稽核</v>
      </c>
      <c r="D33" s="8" t="str">
        <f aca="false">AI高价值场景排序!F32</f>
        <v>降本增效</v>
      </c>
      <c r="E33" s="8" t="str">
        <f aca="false">AI高价值场景排序!H32</f>
        <v>每日/实时</v>
      </c>
      <c r="F33" s="8" t="n">
        <f aca="false">AI高价值场景排序!P32</f>
        <v>3.7</v>
      </c>
      <c r="G33" s="8" t="str">
        <f aca="false">AI高价值场景排序!Q32</f>
        <v>P2 半年内推进</v>
      </c>
      <c r="H33" s="8" t="str">
        <f aca="false">AI高价值场景排序!R32</f>
        <v>业务规则校验＋异常稽核</v>
      </c>
    </row>
    <row r="34" customFormat="false" ht="27.75" hidden="false" customHeight="true" outlineLevel="0" collapsed="false">
      <c r="A34" s="17" t="n">
        <f aca="false">AI高价值场景排序!A33</f>
        <v>32</v>
      </c>
      <c r="B34" s="17" t="str">
        <f aca="false">AI高价值场景排序!B33</f>
        <v>广西送变电建设公司</v>
      </c>
      <c r="C34" s="17" t="str">
        <f aca="false">AI高价值场景排序!E33</f>
        <v>施工现场安全旁站与验收记录</v>
      </c>
      <c r="D34" s="17" t="str">
        <f aca="false">AI高价值场景排序!F33</f>
        <v>降本增效</v>
      </c>
      <c r="E34" s="17" t="str">
        <f aca="false">AI高价值场景排序!H33</f>
        <v>每日/实时</v>
      </c>
      <c r="F34" s="17" t="n">
        <f aca="false">AI高价值场景排序!P33</f>
        <v>3.7</v>
      </c>
      <c r="G34" s="17" t="str">
        <f aca="false">AI高价值场景排序!Q33</f>
        <v>P2 半年内推进</v>
      </c>
      <c r="H34" s="17" t="str">
        <f aca="false">AI高价值场景排序!R33</f>
        <v>视觉监护＋自动记录</v>
      </c>
    </row>
    <row r="35" customFormat="false" ht="27.75" hidden="false" customHeight="true" outlineLevel="0" collapsed="false">
      <c r="A35" s="8" t="n">
        <f aca="false">AI高价值场景排序!A34</f>
        <v>33</v>
      </c>
      <c r="B35" s="8" t="str">
        <f aca="false">AI高价值场景排序!B34</f>
        <v>物资部（供应链管理）</v>
      </c>
      <c r="C35" s="8" t="str">
        <f aca="false">AI高价值场景排序!E34</f>
        <v>库存优化、呆滞物资调剂与配送计划</v>
      </c>
      <c r="D35" s="8" t="str">
        <f aca="false">AI高价值场景排序!F34</f>
        <v>直接减损/增收回</v>
      </c>
      <c r="E35" s="8" t="str">
        <f aca="false">AI高价值场景排序!H34</f>
        <v>每周</v>
      </c>
      <c r="F35" s="8" t="n">
        <f aca="false">AI高价值场景排序!P34</f>
        <v>3.7</v>
      </c>
      <c r="G35" s="8" t="str">
        <f aca="false">AI高价值场景排序!Q34</f>
        <v>P2 半年内推进</v>
      </c>
      <c r="H35" s="8" t="str">
        <f aca="false">AI高价值场景排序!R34</f>
        <v>库存优化＋需求预测</v>
      </c>
    </row>
    <row r="36" customFormat="false" ht="27.75" hidden="false" customHeight="true" outlineLevel="0" collapsed="false">
      <c r="A36" s="17" t="n">
        <f aca="false">AI高价值场景排序!A35</f>
        <v>34</v>
      </c>
      <c r="B36" s="17" t="str">
        <f aca="false">AI高价值场景排序!B35</f>
        <v>生产技术部</v>
      </c>
      <c r="C36" s="17" t="str">
        <f aca="false">AI高价值场景排序!E35</f>
        <v>变电站视频与红外巡检智能分析</v>
      </c>
      <c r="D36" s="17" t="str">
        <f aca="false">AI高价值场景排序!F35</f>
        <v>降本增效</v>
      </c>
      <c r="E36" s="17" t="str">
        <f aca="false">AI高价值场景排序!H35</f>
        <v>每日/实时</v>
      </c>
      <c r="F36" s="17" t="n">
        <f aca="false">AI高价值场景排序!P35</f>
        <v>3.7</v>
      </c>
      <c r="G36" s="17" t="str">
        <f aca="false">AI高价值场景排序!Q35</f>
        <v>P2 半年内推进</v>
      </c>
      <c r="H36" s="17" t="str">
        <f aca="false">AI高价值场景排序!R35</f>
        <v>视觉检测＋红外测温异常识别</v>
      </c>
    </row>
    <row r="37" customFormat="false" ht="27.75" hidden="false" customHeight="true" outlineLevel="0" collapsed="false">
      <c r="A37" s="8" t="n">
        <f aca="false">AI高价值场景排序!A36</f>
        <v>35</v>
      </c>
      <c r="B37" s="8" t="str">
        <f aca="false">AI高价值场景排序!B36</f>
        <v>生产技术部</v>
      </c>
      <c r="C37" s="8" t="str">
        <f aca="false">AI高价值场景排序!E36</f>
        <v>故障抢修派工与到达时间预测</v>
      </c>
      <c r="D37" s="8" t="str">
        <f aca="false">AI高价值场景排序!F36</f>
        <v>降本增效</v>
      </c>
      <c r="E37" s="8" t="str">
        <f aca="false">AI高价值场景排序!H36</f>
        <v>每日/实时</v>
      </c>
      <c r="F37" s="8" t="n">
        <f aca="false">AI高价值场景排序!P36</f>
        <v>3.7</v>
      </c>
      <c r="G37" s="8" t="str">
        <f aca="false">AI高价值场景排序!Q36</f>
        <v>P2 半年内推进</v>
      </c>
      <c r="H37" s="8" t="str">
        <f aca="false">AI高价值场景排序!R36</f>
        <v>路径优化＋到达时间预测</v>
      </c>
    </row>
    <row r="38" customFormat="false" ht="27.75" hidden="false" customHeight="true" outlineLevel="0" collapsed="false">
      <c r="A38" s="17" t="n">
        <f aca="false">AI高价值场景排序!A37</f>
        <v>36</v>
      </c>
      <c r="B38" s="17" t="str">
        <f aca="false">AI高价值场景排序!B37</f>
        <v>财务部</v>
      </c>
      <c r="C38" s="17" t="str">
        <f aca="false">AI高价值场景排序!E37</f>
        <v>票据识别与凭证自动生成</v>
      </c>
      <c r="D38" s="17" t="str">
        <f aca="false">AI高价值场景排序!F37</f>
        <v>降本增效</v>
      </c>
      <c r="E38" s="17" t="str">
        <f aca="false">AI高价值场景排序!H37</f>
        <v>每日/实时</v>
      </c>
      <c r="F38" s="17" t="n">
        <f aca="false">AI高价值场景排序!P37</f>
        <v>3.7</v>
      </c>
      <c r="G38" s="17" t="str">
        <f aca="false">AI高价值场景排序!Q37</f>
        <v>P2 半年内推进</v>
      </c>
      <c r="H38" s="17" t="str">
        <f aca="false">AI高价值场景排序!R37</f>
        <v>OCR＋财务规则引擎</v>
      </c>
    </row>
    <row r="39" customFormat="false" ht="27.75" hidden="false" customHeight="true" outlineLevel="0" collapsed="false">
      <c r="A39" s="8" t="n">
        <f aca="false">AI高价值场景排序!A38</f>
        <v>37</v>
      </c>
      <c r="B39" s="8" t="str">
        <f aca="false">AI高价值场景排序!B38</f>
        <v>广西电网能源科技公司</v>
      </c>
      <c r="C39" s="8" t="str">
        <f aca="false">AI高价值场景排序!E38</f>
        <v>用户侧储能容量配置与充放策略优化</v>
      </c>
      <c r="D39" s="8" t="str">
        <f aca="false">AI高价值场景排序!F38</f>
        <v>直接创收</v>
      </c>
      <c r="E39" s="8" t="str">
        <f aca="false">AI高价值场景排序!H38</f>
        <v>每月</v>
      </c>
      <c r="F39" s="8" t="n">
        <f aca="false">AI高价值场景排序!P38</f>
        <v>3.65</v>
      </c>
      <c r="G39" s="8" t="str">
        <f aca="false">AI高价值场景排序!Q38</f>
        <v>P2 半年内推进</v>
      </c>
      <c r="H39" s="8" t="str">
        <f aca="false">AI高价值场景排序!R38</f>
        <v>峰谷价差优化＋容量配置模型</v>
      </c>
    </row>
    <row r="40" customFormat="false" ht="27.75" hidden="false" customHeight="true" outlineLevel="0" collapsed="false">
      <c r="A40" s="17" t="n">
        <f aca="false">AI高价值场景排序!A39</f>
        <v>38</v>
      </c>
      <c r="B40" s="17" t="str">
        <f aca="false">AI高价值场景排序!B39</f>
        <v>生产技术部</v>
      </c>
      <c r="C40" s="17" t="str">
        <f aca="false">AI高价值场景排序!E39</f>
        <v>配网设备缺陷识别与自动工单生成</v>
      </c>
      <c r="D40" s="17" t="str">
        <f aca="false">AI高价值场景排序!F39</f>
        <v>降本增效</v>
      </c>
      <c r="E40" s="17" t="str">
        <f aca="false">AI高价值场景排序!H39</f>
        <v>每日/实时</v>
      </c>
      <c r="F40" s="17" t="n">
        <f aca="false">AI高价值场景排序!P39</f>
        <v>3.65</v>
      </c>
      <c r="G40" s="17" t="str">
        <f aca="false">AI高价值场景排序!Q39</f>
        <v>P2 半年内推进</v>
      </c>
      <c r="H40" s="17" t="str">
        <f aca="false">AI高价值场景排序!R39</f>
        <v>小样本视觉模型＋工单生成</v>
      </c>
    </row>
    <row r="41" customFormat="false" ht="27.75" hidden="false" customHeight="true" outlineLevel="0" collapsed="false">
      <c r="A41" s="8" t="n">
        <f aca="false">AI高价值场景排序!A40</f>
        <v>39</v>
      </c>
      <c r="B41" s="8" t="str">
        <f aca="false">AI高价值场景排序!B40</f>
        <v>市场营销部</v>
      </c>
      <c r="C41" s="8" t="str">
        <f aca="false">AI高价值场景排序!E40</f>
        <v>综合能源与节能改造方案设计</v>
      </c>
      <c r="D41" s="8" t="str">
        <f aca="false">AI高价值场景排序!F40</f>
        <v>直接创收</v>
      </c>
      <c r="E41" s="8" t="str">
        <f aca="false">AI高价值场景排序!H40</f>
        <v>每月</v>
      </c>
      <c r="F41" s="8" t="n">
        <f aca="false">AI高价值场景排序!P40</f>
        <v>3.65</v>
      </c>
      <c r="G41" s="8" t="str">
        <f aca="false">AI高价值场景排序!Q40</f>
        <v>P2 半年内推进</v>
      </c>
      <c r="H41" s="8" t="str">
        <f aca="false">AI高价值场景排序!R40</f>
        <v>能耗诊断模型＋方案生成</v>
      </c>
    </row>
    <row r="42" customFormat="false" ht="27.75" hidden="false" customHeight="true" outlineLevel="0" collapsed="false">
      <c r="A42" s="17" t="n">
        <f aca="false">AI高价值场景排序!A41</f>
        <v>40</v>
      </c>
      <c r="B42" s="17" t="str">
        <f aca="false">AI高价值场景排序!B41</f>
        <v>客户服务中心（95598）</v>
      </c>
      <c r="C42" s="17" t="str">
        <f aca="false">AI高价值场景排序!E41</f>
        <v>智能语音客服与用户意图识别</v>
      </c>
      <c r="D42" s="17" t="str">
        <f aca="false">AI高价值场景排序!F41</f>
        <v>风险合规避损</v>
      </c>
      <c r="E42" s="17" t="str">
        <f aca="false">AI高价值场景排序!H41</f>
        <v>每日/实时</v>
      </c>
      <c r="F42" s="17" t="n">
        <f aca="false">AI高价值场景排序!P41</f>
        <v>3.6</v>
      </c>
      <c r="G42" s="17" t="str">
        <f aca="false">AI高价值场景排序!Q41</f>
        <v>P2 半年内推进</v>
      </c>
      <c r="H42" s="17" t="str">
        <f aca="false">AI高价值场景排序!R41</f>
        <v>语音识别＋意图理解＋知识问答</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14"/>
    <col collapsed="false" customWidth="true" hidden="false" outlineLevel="0" max="5" min="4" style="0" width="12"/>
    <col collapsed="false" customWidth="true" hidden="false" outlineLevel="0" max="6" min="6" style="0" width="44"/>
  </cols>
  <sheetData>
    <row r="1" customFormat="false" ht="17.35" hidden="false" customHeight="false" outlineLevel="0" collapsed="false">
      <c r="A1" s="1" t="s">
        <v>967</v>
      </c>
      <c r="B1" s="1"/>
      <c r="C1" s="1"/>
      <c r="D1" s="1"/>
      <c r="E1" s="1"/>
      <c r="F1" s="1"/>
    </row>
    <row r="2" customFormat="false" ht="15" hidden="false" customHeight="false" outlineLevel="0" collapsed="false">
      <c r="A2" s="11" t="s">
        <v>70</v>
      </c>
      <c r="B2" s="11" t="s">
        <v>968</v>
      </c>
      <c r="C2" s="11" t="s">
        <v>969</v>
      </c>
      <c r="D2" s="19" t="s">
        <v>970</v>
      </c>
      <c r="E2" s="19" t="s">
        <v>971</v>
      </c>
      <c r="F2" s="11" t="s">
        <v>972</v>
      </c>
    </row>
    <row r="3" customFormat="false" ht="25.5" hidden="false" customHeight="true" outlineLevel="0" collapsed="false">
      <c r="A3" s="7" t="s">
        <v>88</v>
      </c>
      <c r="B3" s="12" t="n">
        <f aca="false">COUNTIF(AI高价值场景排序!$B$2:$B$181,$A3)</f>
        <v>3</v>
      </c>
      <c r="C3" s="12" t="n">
        <f aca="false">ROUND(AVERAGEIF(AI高价值场景排序!$B$2:$B$181,$A3,AI高价值场景排序!$P$2:$P$181),2)</f>
        <v>3.82</v>
      </c>
      <c r="D3" s="12" t="n">
        <f aca="false">COUNTIFS(AI高价值场景排序!$B$2:$B$181,$A3,AI高价值场景排序!$Q$2:$Q$181,"P1 立即启动")</f>
        <v>1</v>
      </c>
      <c r="E3" s="12" t="n">
        <f aca="false">COUNTIFS(AI高价值场景排序!$B$2:$B$181,$A3,AI高价值场景排序!$Q$2:$Q$181,"P2 半年内推进")</f>
        <v>1</v>
      </c>
      <c r="F3" s="7" t="s">
        <v>91</v>
      </c>
    </row>
    <row r="4" customFormat="false" ht="25.5" hidden="false" customHeight="true" outlineLevel="0" collapsed="false">
      <c r="A4" s="15" t="s">
        <v>100</v>
      </c>
      <c r="B4" s="14" t="n">
        <f aca="false">COUNTIF(AI高价值场景排序!$B$2:$B$181,$A4)</f>
        <v>3</v>
      </c>
      <c r="C4" s="14" t="n">
        <f aca="false">ROUND(AVERAGEIF(AI高价值场景排序!$B$2:$B$181,$A4,AI高价值场景排序!$P$2:$P$181),2)</f>
        <v>3.78</v>
      </c>
      <c r="D4" s="14" t="n">
        <f aca="false">COUNTIFS(AI高价值场景排序!$B$2:$B$181,$A4,AI高价值场景排序!$Q$2:$Q$181,"P1 立即启动")</f>
        <v>1</v>
      </c>
      <c r="E4" s="14" t="n">
        <f aca="false">COUNTIFS(AI高价值场景排序!$B$2:$B$181,$A4,AI高价值场景排序!$Q$2:$Q$181,"P2 半年内推进")</f>
        <v>1</v>
      </c>
      <c r="F4" s="15" t="s">
        <v>102</v>
      </c>
    </row>
    <row r="5" customFormat="false" ht="25.5" hidden="false" customHeight="true" outlineLevel="0" collapsed="false">
      <c r="A5" s="7" t="s">
        <v>231</v>
      </c>
      <c r="B5" s="12" t="n">
        <f aca="false">COUNTIF(AI高价值场景排序!$B$2:$B$181,$A5)</f>
        <v>1</v>
      </c>
      <c r="C5" s="12" t="n">
        <f aca="false">ROUND(AVERAGEIF(AI高价值场景排序!$B$2:$B$181,$A5,AI高价值场景排序!$P$2:$P$181),2)</f>
        <v>3.7</v>
      </c>
      <c r="D5" s="12" t="n">
        <f aca="false">COUNTIFS(AI高价值场景排序!$B$2:$B$181,$A5,AI高价值场景排序!$Q$2:$Q$181,"P1 立即启动")</f>
        <v>0</v>
      </c>
      <c r="E5" s="12" t="n">
        <f aca="false">COUNTIFS(AI高价值场景排序!$B$2:$B$181,$A5,AI高价值场景排序!$Q$2:$Q$181,"P2 半年内推进")</f>
        <v>1</v>
      </c>
      <c r="F5" s="7" t="s">
        <v>234</v>
      </c>
    </row>
    <row r="6" customFormat="false" ht="25.5" hidden="false" customHeight="true" outlineLevel="0" collapsed="false">
      <c r="A6" s="15" t="s">
        <v>225</v>
      </c>
      <c r="B6" s="14" t="n">
        <f aca="false">COUNTIF(AI高价值场景排序!$B$2:$B$181,$A6)</f>
        <v>3</v>
      </c>
      <c r="C6" s="14" t="n">
        <f aca="false">ROUND(AVERAGEIF(AI高价值场景排序!$B$2:$B$181,$A6,AI高价值场景排序!$P$2:$P$181),2)</f>
        <v>3.68</v>
      </c>
      <c r="D6" s="14" t="n">
        <f aca="false">COUNTIFS(AI高价值场景排序!$B$2:$B$181,$A6,AI高价值场景排序!$Q$2:$Q$181,"P1 立即启动")</f>
        <v>0</v>
      </c>
      <c r="E6" s="14" t="n">
        <f aca="false">COUNTIFS(AI高价值场景排序!$B$2:$B$181,$A6,AI高价值场景排序!$Q$2:$Q$181,"P2 半年内推进")</f>
        <v>3</v>
      </c>
      <c r="F6" s="15" t="s">
        <v>228</v>
      </c>
    </row>
    <row r="7" customFormat="false" ht="25.5" hidden="false" customHeight="true" outlineLevel="0" collapsed="false">
      <c r="A7" s="7" t="s">
        <v>105</v>
      </c>
      <c r="B7" s="12" t="n">
        <f aca="false">COUNTIF(AI高价值场景排序!$B$2:$B$181,$A7)</f>
        <v>8</v>
      </c>
      <c r="C7" s="12" t="n">
        <f aca="false">ROUND(AVERAGEIF(AI高价值场景排序!$B$2:$B$181,$A7,AI高价值场景排序!$P$2:$P$181),2)</f>
        <v>3.68</v>
      </c>
      <c r="D7" s="12" t="n">
        <f aca="false">COUNTIFS(AI高价值场景排序!$B$2:$B$181,$A7,AI高价值场景排序!$Q$2:$Q$181,"P1 立即启动")</f>
        <v>2</v>
      </c>
      <c r="E7" s="12" t="n">
        <f aca="false">COUNTIFS(AI高价值场景排序!$B$2:$B$181,$A7,AI高价值场景排序!$Q$2:$Q$181,"P2 半年内推进")</f>
        <v>3</v>
      </c>
      <c r="F7" s="7" t="s">
        <v>108</v>
      </c>
    </row>
    <row r="8" customFormat="false" ht="25.5" hidden="false" customHeight="true" outlineLevel="0" collapsed="false">
      <c r="A8" s="15" t="s">
        <v>185</v>
      </c>
      <c r="B8" s="14" t="n">
        <f aca="false">COUNTIF(AI高价值场景排序!$B$2:$B$181,$A8)</f>
        <v>4</v>
      </c>
      <c r="C8" s="14" t="n">
        <f aca="false">ROUND(AVERAGEIF(AI高价值场景排序!$B$2:$B$181,$A8,AI高价值场景排序!$P$2:$P$181),2)</f>
        <v>3.65</v>
      </c>
      <c r="D8" s="14" t="n">
        <f aca="false">COUNTIFS(AI高价值场景排序!$B$2:$B$181,$A8,AI高价值场景排序!$Q$2:$Q$181,"P1 立即启动")</f>
        <v>0</v>
      </c>
      <c r="E8" s="14" t="n">
        <f aca="false">COUNTIFS(AI高价值场景排序!$B$2:$B$181,$A8,AI高价值场景排序!$Q$2:$Q$181,"P2 半年内推进")</f>
        <v>3</v>
      </c>
      <c r="F8" s="15" t="s">
        <v>188</v>
      </c>
    </row>
    <row r="9" customFormat="false" ht="25.5" hidden="false" customHeight="true" outlineLevel="0" collapsed="false">
      <c r="A9" s="7" t="s">
        <v>94</v>
      </c>
      <c r="B9" s="12" t="n">
        <f aca="false">COUNTIF(AI高价值场景排序!$B$2:$B$181,$A9)</f>
        <v>20</v>
      </c>
      <c r="C9" s="12" t="n">
        <f aca="false">ROUND(AVERAGEIF(AI高价值场景排序!$B$2:$B$181,$A9,AI高价值场景排序!$P$2:$P$181),2)</f>
        <v>3.62</v>
      </c>
      <c r="D9" s="12" t="n">
        <f aca="false">COUNTIFS(AI高价值场景排序!$B$2:$B$181,$A9,AI高价值场景排序!$Q$2:$Q$181,"P1 立即启动")</f>
        <v>3</v>
      </c>
      <c r="E9" s="12" t="n">
        <f aca="false">COUNTIFS(AI高价值场景排序!$B$2:$B$181,$A9,AI高价值场景排序!$Q$2:$Q$181,"P2 半年内推进")</f>
        <v>10</v>
      </c>
      <c r="F9" s="7" t="s">
        <v>97</v>
      </c>
    </row>
    <row r="10" customFormat="false" ht="25.5" hidden="false" customHeight="true" outlineLevel="0" collapsed="false">
      <c r="A10" s="15" t="s">
        <v>132</v>
      </c>
      <c r="B10" s="14" t="n">
        <f aca="false">COUNTIF(AI高价值场景排序!$B$2:$B$181,$A10)</f>
        <v>4</v>
      </c>
      <c r="C10" s="14" t="n">
        <f aca="false">ROUND(AVERAGEIF(AI高价值场景排序!$B$2:$B$181,$A10,AI高价值场景排序!$P$2:$P$181),2)</f>
        <v>3.53</v>
      </c>
      <c r="D10" s="14" t="n">
        <f aca="false">COUNTIFS(AI高价值场景排序!$B$2:$B$181,$A10,AI高价值场景排序!$Q$2:$Q$181,"P1 立即启动")</f>
        <v>1</v>
      </c>
      <c r="E10" s="14" t="n">
        <f aca="false">COUNTIFS(AI高价值场景排序!$B$2:$B$181,$A10,AI高价值场景排序!$Q$2:$Q$181,"P2 半年内推进")</f>
        <v>0</v>
      </c>
      <c r="F10" s="15" t="s">
        <v>135</v>
      </c>
    </row>
    <row r="11" customFormat="false" ht="25.5" hidden="false" customHeight="true" outlineLevel="0" collapsed="false">
      <c r="A11" s="7" t="s">
        <v>293</v>
      </c>
      <c r="B11" s="12" t="n">
        <f aca="false">COUNTIF(AI高价值场景排序!$B$2:$B$181,$A11)</f>
        <v>3</v>
      </c>
      <c r="C11" s="12" t="n">
        <f aca="false">ROUND(AVERAGEIF(AI高价值场景排序!$B$2:$B$181,$A11,AI高价值场景排序!$P$2:$P$181),2)</f>
        <v>3.52</v>
      </c>
      <c r="D11" s="12" t="n">
        <f aca="false">COUNTIFS(AI高价值场景排序!$B$2:$B$181,$A11,AI高价值场景排序!$Q$2:$Q$181,"P1 立即启动")</f>
        <v>0</v>
      </c>
      <c r="E11" s="12" t="n">
        <f aca="false">COUNTIFS(AI高价值场景排序!$B$2:$B$181,$A11,AI高价值场景排序!$Q$2:$Q$181,"P2 半年内推进")</f>
        <v>2</v>
      </c>
      <c r="F11" s="7" t="s">
        <v>296</v>
      </c>
    </row>
    <row r="12" customFormat="false" ht="25.5" hidden="false" customHeight="true" outlineLevel="0" collapsed="false">
      <c r="A12" s="15" t="s">
        <v>219</v>
      </c>
      <c r="B12" s="14" t="n">
        <f aca="false">COUNTIF(AI高价值场景排序!$B$2:$B$181,$A12)</f>
        <v>8</v>
      </c>
      <c r="C12" s="14" t="n">
        <f aca="false">ROUND(AVERAGEIF(AI高价值场景排序!$B$2:$B$181,$A12,AI高价值场景排序!$P$2:$P$181),2)</f>
        <v>3.43</v>
      </c>
      <c r="D12" s="14" t="n">
        <f aca="false">COUNTIFS(AI高价值场景排序!$B$2:$B$181,$A12,AI高价值场景排序!$Q$2:$Q$181,"P1 立即启动")</f>
        <v>0</v>
      </c>
      <c r="E12" s="14" t="n">
        <f aca="false">COUNTIFS(AI高价值场景排序!$B$2:$B$181,$A12,AI高价值场景排序!$Q$2:$Q$181,"P2 半年内推进")</f>
        <v>3</v>
      </c>
      <c r="F12" s="15" t="s">
        <v>222</v>
      </c>
    </row>
    <row r="13" customFormat="false" ht="25.5" hidden="false" customHeight="true" outlineLevel="0" collapsed="false">
      <c r="A13" s="7" t="s">
        <v>126</v>
      </c>
      <c r="B13" s="12" t="n">
        <f aca="false">COUNTIF(AI高价值场景排序!$B$2:$B$181,$A13)</f>
        <v>15</v>
      </c>
      <c r="C13" s="12" t="n">
        <f aca="false">ROUND(AVERAGEIF(AI高价值场景排序!$B$2:$B$181,$A13,AI高价值场景排序!$P$2:$P$181),2)</f>
        <v>3.39</v>
      </c>
      <c r="D13" s="12" t="n">
        <f aca="false">COUNTIFS(AI高价值场景排序!$B$2:$B$181,$A13,AI高价值场景排序!$Q$2:$Q$181,"P1 立即启动")</f>
        <v>1</v>
      </c>
      <c r="E13" s="12" t="n">
        <f aca="false">COUNTIFS(AI高价值场景排序!$B$2:$B$181,$A13,AI高价值场景排序!$Q$2:$Q$181,"P2 半年内推进")</f>
        <v>5</v>
      </c>
      <c r="F13" s="7" t="s">
        <v>129</v>
      </c>
    </row>
    <row r="14" customFormat="false" ht="25.5" hidden="false" customHeight="true" outlineLevel="0" collapsed="false">
      <c r="A14" s="15" t="s">
        <v>256</v>
      </c>
      <c r="B14" s="14" t="n">
        <f aca="false">COUNTIF(AI高价值场景排序!$B$2:$B$181,$A14)</f>
        <v>10</v>
      </c>
      <c r="C14" s="14" t="n">
        <f aca="false">ROUND(AVERAGEIF(AI高价值场景排序!$B$2:$B$181,$A14,AI高价值场景排序!$P$2:$P$181),2)</f>
        <v>3.31</v>
      </c>
      <c r="D14" s="14" t="n">
        <f aca="false">COUNTIFS(AI高价值场景排序!$B$2:$B$181,$A14,AI高价值场景排序!$Q$2:$Q$181,"P1 立即启动")</f>
        <v>0</v>
      </c>
      <c r="E14" s="14" t="n">
        <f aca="false">COUNTIFS(AI高价值场景排序!$B$2:$B$181,$A14,AI高价值场景排序!$Q$2:$Q$181,"P2 半年内推进")</f>
        <v>1</v>
      </c>
      <c r="F14" s="15" t="s">
        <v>259</v>
      </c>
    </row>
    <row r="15" customFormat="false" ht="25.5" hidden="false" customHeight="true" outlineLevel="0" collapsed="false">
      <c r="A15" s="7" t="s">
        <v>411</v>
      </c>
      <c r="B15" s="12" t="n">
        <f aca="false">COUNTIF(AI高价值场景排序!$B$2:$B$181,$A15)</f>
        <v>5</v>
      </c>
      <c r="C15" s="12" t="n">
        <f aca="false">ROUND(AVERAGEIF(AI高价值场景排序!$B$2:$B$181,$A15,AI高价值场景排序!$P$2:$P$181),2)</f>
        <v>3.22</v>
      </c>
      <c r="D15" s="12" t="n">
        <f aca="false">COUNTIFS(AI高价值场景排序!$B$2:$B$181,$A15,AI高价值场景排序!$Q$2:$Q$181,"P1 立即启动")</f>
        <v>0</v>
      </c>
      <c r="E15" s="12" t="n">
        <f aca="false">COUNTIFS(AI高价值场景排序!$B$2:$B$181,$A15,AI高价值场景排序!$Q$2:$Q$181,"P2 半年内推进")</f>
        <v>0</v>
      </c>
      <c r="F15" s="7" t="s">
        <v>414</v>
      </c>
    </row>
    <row r="16" customFormat="false" ht="25.5" hidden="false" customHeight="true" outlineLevel="0" collapsed="false">
      <c r="A16" s="15" t="s">
        <v>426</v>
      </c>
      <c r="B16" s="14" t="n">
        <f aca="false">COUNTIF(AI高价值场景排序!$B$2:$B$181,$A16)</f>
        <v>4</v>
      </c>
      <c r="C16" s="14" t="n">
        <f aca="false">ROUND(AVERAGEIF(AI高价值场景排序!$B$2:$B$181,$A16,AI高价值场景排序!$P$2:$P$181),2)</f>
        <v>3.2</v>
      </c>
      <c r="D16" s="14" t="n">
        <f aca="false">COUNTIFS(AI高价值场景排序!$B$2:$B$181,$A16,AI高价值场景排序!$Q$2:$Q$181,"P1 立即启动")</f>
        <v>0</v>
      </c>
      <c r="E16" s="14" t="n">
        <f aca="false">COUNTIFS(AI高价值场景排序!$B$2:$B$181,$A16,AI高价值场景排序!$Q$2:$Q$181,"P2 半年内推进")</f>
        <v>0</v>
      </c>
      <c r="F16" s="15" t="s">
        <v>429</v>
      </c>
    </row>
    <row r="17" customFormat="false" ht="25.5" hidden="false" customHeight="true" outlineLevel="0" collapsed="false">
      <c r="A17" s="7" t="s">
        <v>169</v>
      </c>
      <c r="B17" s="12" t="n">
        <f aca="false">COUNTIF(AI高价值场景排序!$B$2:$B$181,$A17)</f>
        <v>10</v>
      </c>
      <c r="C17" s="12" t="n">
        <f aca="false">ROUND(AVERAGEIF(AI高价值场景排序!$B$2:$B$181,$A17,AI高价值场景排序!$P$2:$P$181),2)</f>
        <v>3.17</v>
      </c>
      <c r="D17" s="12" t="n">
        <f aca="false">COUNTIFS(AI高价值场景排序!$B$2:$B$181,$A17,AI高价值场景排序!$Q$2:$Q$181,"P1 立即启动")</f>
        <v>0</v>
      </c>
      <c r="E17" s="12" t="n">
        <f aca="false">COUNTIFS(AI高价值场景排序!$B$2:$B$181,$A17,AI高价值场景排序!$Q$2:$Q$181,"P2 半年内推进")</f>
        <v>1</v>
      </c>
      <c r="F17" s="7" t="s">
        <v>172</v>
      </c>
    </row>
    <row r="18" customFormat="false" ht="25.5" hidden="false" customHeight="true" outlineLevel="0" collapsed="false">
      <c r="A18" s="15" t="s">
        <v>333</v>
      </c>
      <c r="B18" s="14" t="n">
        <f aca="false">COUNTIF(AI高价值场景排序!$B$2:$B$181,$A18)</f>
        <v>7</v>
      </c>
      <c r="C18" s="14" t="n">
        <f aca="false">ROUND(AVERAGEIF(AI高价值场景排序!$B$2:$B$181,$A18,AI高价值场景排序!$P$2:$P$181),2)</f>
        <v>3.11</v>
      </c>
      <c r="D18" s="14" t="n">
        <f aca="false">COUNTIFS(AI高价值场景排序!$B$2:$B$181,$A18,AI高价值场景排序!$Q$2:$Q$181,"P1 立即启动")</f>
        <v>0</v>
      </c>
      <c r="E18" s="14" t="n">
        <f aca="false">COUNTIFS(AI高价值场景排序!$B$2:$B$181,$A18,AI高价值场景排序!$Q$2:$Q$181,"P2 半年内推进")</f>
        <v>0</v>
      </c>
      <c r="F18" s="15" t="s">
        <v>336</v>
      </c>
    </row>
    <row r="19" customFormat="false" ht="25.5" hidden="false" customHeight="true" outlineLevel="0" collapsed="false">
      <c r="A19" s="7" t="s">
        <v>272</v>
      </c>
      <c r="B19" s="12" t="n">
        <f aca="false">COUNTIF(AI高价值场景排序!$B$2:$B$181,$A19)</f>
        <v>10</v>
      </c>
      <c r="C19" s="12" t="n">
        <f aca="false">ROUND(AVERAGEIF(AI高价值场景排序!$B$2:$B$181,$A19,AI高价值场景排序!$P$2:$P$181),2)</f>
        <v>3.09</v>
      </c>
      <c r="D19" s="12" t="n">
        <f aca="false">COUNTIFS(AI高价值场景排序!$B$2:$B$181,$A19,AI高价值场景排序!$Q$2:$Q$181,"P1 立即启动")</f>
        <v>0</v>
      </c>
      <c r="E19" s="12" t="n">
        <f aca="false">COUNTIFS(AI高价值场景排序!$B$2:$B$181,$A19,AI高价值场景排序!$Q$2:$Q$181,"P2 半年内推进")</f>
        <v>1</v>
      </c>
      <c r="F19" s="7" t="s">
        <v>275</v>
      </c>
    </row>
    <row r="20" customFormat="false" ht="25.5" hidden="false" customHeight="true" outlineLevel="0" collapsed="false">
      <c r="A20" s="15" t="s">
        <v>580</v>
      </c>
      <c r="B20" s="14" t="n">
        <f aca="false">COUNTIF(AI高价值场景排序!$B$2:$B$181,$A20)</f>
        <v>3</v>
      </c>
      <c r="C20" s="14" t="n">
        <f aca="false">ROUND(AVERAGEIF(AI高价值场景排序!$B$2:$B$181,$A20,AI高价值场景排序!$P$2:$P$181),2)</f>
        <v>3.07</v>
      </c>
      <c r="D20" s="14" t="n">
        <f aca="false">COUNTIFS(AI高价值场景排序!$B$2:$B$181,$A20,AI高价值场景排序!$Q$2:$Q$181,"P1 立即启动")</f>
        <v>0</v>
      </c>
      <c r="E20" s="14" t="n">
        <f aca="false">COUNTIFS(AI高价值场景排序!$B$2:$B$181,$A20,AI高价值场景排序!$Q$2:$Q$181,"P2 半年内推进")</f>
        <v>0</v>
      </c>
      <c r="F20" s="15" t="s">
        <v>583</v>
      </c>
    </row>
    <row r="21" customFormat="false" ht="25.5" hidden="false" customHeight="true" outlineLevel="0" collapsed="false">
      <c r="A21" s="7" t="s">
        <v>354</v>
      </c>
      <c r="B21" s="12" t="n">
        <f aca="false">COUNTIF(AI高价值场景排序!$B$2:$B$181,$A21)</f>
        <v>9</v>
      </c>
      <c r="C21" s="12" t="n">
        <f aca="false">ROUND(AVERAGEIF(AI高价值场景排序!$B$2:$B$181,$A21,AI高价值场景排序!$P$2:$P$181),2)</f>
        <v>3.06</v>
      </c>
      <c r="D21" s="12" t="n">
        <f aca="false">COUNTIFS(AI高价值场景排序!$B$2:$B$181,$A21,AI高价值场景排序!$Q$2:$Q$181,"P1 立即启动")</f>
        <v>0</v>
      </c>
      <c r="E21" s="12" t="n">
        <f aca="false">COUNTIFS(AI高价值场景排序!$B$2:$B$181,$A21,AI高价值场景排序!$Q$2:$Q$181,"P2 半年内推进")</f>
        <v>0</v>
      </c>
      <c r="F21" s="7" t="s">
        <v>357</v>
      </c>
    </row>
    <row r="22" customFormat="false" ht="25.5" hidden="false" customHeight="true" outlineLevel="0" collapsed="false">
      <c r="A22" s="15" t="s">
        <v>163</v>
      </c>
      <c r="B22" s="14" t="n">
        <f aca="false">COUNTIF(AI高价值场景排序!$B$2:$B$181,$A22)</f>
        <v>10</v>
      </c>
      <c r="C22" s="14" t="n">
        <f aca="false">ROUND(AVERAGEIF(AI高价值场景排序!$B$2:$B$181,$A22,AI高价值场景排序!$P$2:$P$181),2)</f>
        <v>3.06</v>
      </c>
      <c r="D22" s="14" t="n">
        <f aca="false">COUNTIFS(AI高价值场景排序!$B$2:$B$181,$A22,AI高价值场景排序!$Q$2:$Q$181,"P1 立即启动")</f>
        <v>0</v>
      </c>
      <c r="E22" s="14" t="n">
        <f aca="false">COUNTIFS(AI高价值场景排序!$B$2:$B$181,$A22,AI高价值场景排序!$Q$2:$Q$181,"P2 半年内推进")</f>
        <v>1</v>
      </c>
      <c r="F22" s="15" t="s">
        <v>166</v>
      </c>
    </row>
    <row r="23" customFormat="false" ht="25.5" hidden="false" customHeight="true" outlineLevel="0" collapsed="false">
      <c r="A23" s="7" t="s">
        <v>386</v>
      </c>
      <c r="B23" s="12" t="n">
        <f aca="false">COUNTIF(AI高价值场景排序!$B$2:$B$181,$A23)</f>
        <v>4</v>
      </c>
      <c r="C23" s="12" t="n">
        <f aca="false">ROUND(AVERAGEIF(AI高价值场景排序!$B$2:$B$181,$A23,AI高价值场景排序!$P$2:$P$181),2)</f>
        <v>3.03</v>
      </c>
      <c r="D23" s="12" t="n">
        <f aca="false">COUNTIFS(AI高价值场景排序!$B$2:$B$181,$A23,AI高价值场景排序!$Q$2:$Q$181,"P1 立即启动")</f>
        <v>0</v>
      </c>
      <c r="E23" s="12" t="n">
        <f aca="false">COUNTIFS(AI高价值场景排序!$B$2:$B$181,$A23,AI高价值场景排序!$Q$2:$Q$181,"P2 半年内推进")</f>
        <v>0</v>
      </c>
      <c r="F23" s="7" t="s">
        <v>389</v>
      </c>
    </row>
    <row r="24" customFormat="false" ht="25.5" hidden="false" customHeight="true" outlineLevel="0" collapsed="false">
      <c r="A24" s="15" t="s">
        <v>610</v>
      </c>
      <c r="B24" s="14" t="n">
        <f aca="false">COUNTIF(AI高价值场景排序!$B$2:$B$181,$A24)</f>
        <v>4</v>
      </c>
      <c r="C24" s="14" t="n">
        <f aca="false">ROUND(AVERAGEIF(AI高价值场景排序!$B$2:$B$181,$A24,AI高价值场景排序!$P$2:$P$181),2)</f>
        <v>3.03</v>
      </c>
      <c r="D24" s="14" t="n">
        <f aca="false">COUNTIFS(AI高价值场景排序!$B$2:$B$181,$A24,AI高价值场景排序!$Q$2:$Q$181,"P1 立即启动")</f>
        <v>0</v>
      </c>
      <c r="E24" s="14" t="n">
        <f aca="false">COUNTIFS(AI高价值场景排序!$B$2:$B$181,$A24,AI高价值场景排序!$Q$2:$Q$181,"P2 半年内推进")</f>
        <v>0</v>
      </c>
      <c r="F24" s="15" t="s">
        <v>613</v>
      </c>
    </row>
    <row r="25" customFormat="false" ht="25.5" hidden="false" customHeight="true" outlineLevel="0" collapsed="false">
      <c r="A25" s="7" t="s">
        <v>138</v>
      </c>
      <c r="B25" s="12" t="n">
        <f aca="false">COUNTIF(AI高价值场景排序!$B$2:$B$181,$A25)</f>
        <v>8</v>
      </c>
      <c r="C25" s="12" t="n">
        <f aca="false">ROUND(AVERAGEIF(AI高价值场景排序!$B$2:$B$181,$A25,AI高价值场景排序!$P$2:$P$181),2)</f>
        <v>2.96</v>
      </c>
      <c r="D25" s="12" t="n">
        <f aca="false">COUNTIFS(AI高价值场景排序!$B$2:$B$181,$A25,AI高价值场景排序!$Q$2:$Q$181,"P1 立即启动")</f>
        <v>0</v>
      </c>
      <c r="E25" s="12" t="n">
        <f aca="false">COUNTIFS(AI高价值场景排序!$B$2:$B$181,$A25,AI高价值场景排序!$Q$2:$Q$181,"P2 半年内推进")</f>
        <v>1</v>
      </c>
      <c r="F25" s="7" t="s">
        <v>141</v>
      </c>
    </row>
    <row r="26" customFormat="false" ht="25.5" hidden="false" customHeight="true" outlineLevel="0" collapsed="false">
      <c r="A26" s="15" t="s">
        <v>761</v>
      </c>
      <c r="B26" s="14" t="n">
        <f aca="false">COUNTIF(AI高价值场景排序!$B$2:$B$181,$A26)</f>
        <v>1</v>
      </c>
      <c r="C26" s="14" t="n">
        <f aca="false">ROUND(AVERAGEIF(AI高价值场景排序!$B$2:$B$181,$A26,AI高价值场景排序!$P$2:$P$181),2)</f>
        <v>2.9</v>
      </c>
      <c r="D26" s="14" t="n">
        <f aca="false">COUNTIFS(AI高价值场景排序!$B$2:$B$181,$A26,AI高价值场景排序!$Q$2:$Q$181,"P1 立即启动")</f>
        <v>0</v>
      </c>
      <c r="E26" s="14" t="n">
        <f aca="false">COUNTIFS(AI高价值场景排序!$B$2:$B$181,$A26,AI高价值场景排序!$Q$2:$Q$181,"P2 半年内推进")</f>
        <v>0</v>
      </c>
      <c r="F26" s="15" t="s">
        <v>764</v>
      </c>
    </row>
    <row r="27" customFormat="false" ht="25.5" hidden="false" customHeight="true" outlineLevel="0" collapsed="false">
      <c r="A27" s="7" t="s">
        <v>772</v>
      </c>
      <c r="B27" s="12" t="n">
        <f aca="false">COUNTIF(AI高价值场景排序!$B$2:$B$181,$A27)</f>
        <v>1</v>
      </c>
      <c r="C27" s="12" t="n">
        <f aca="false">ROUND(AVERAGEIF(AI高价值场景排序!$B$2:$B$181,$A27,AI高价值场景排序!$P$2:$P$181),2)</f>
        <v>2.9</v>
      </c>
      <c r="D27" s="12" t="n">
        <f aca="false">COUNTIFS(AI高价值场景排序!$B$2:$B$181,$A27,AI高价值场景排序!$Q$2:$Q$181,"P1 立即启动")</f>
        <v>0</v>
      </c>
      <c r="E27" s="12" t="n">
        <f aca="false">COUNTIFS(AI高价值场景排序!$B$2:$B$181,$A27,AI高价值场景排序!$Q$2:$Q$181,"P2 半年内推进")</f>
        <v>0</v>
      </c>
      <c r="F27" s="7" t="s">
        <v>775</v>
      </c>
    </row>
    <row r="28" customFormat="false" ht="25.5" hidden="false" customHeight="true" outlineLevel="0" collapsed="false">
      <c r="A28" s="15" t="s">
        <v>621</v>
      </c>
      <c r="B28" s="14" t="n">
        <f aca="false">COUNTIF(AI高价值场景排序!$B$2:$B$181,$A28)</f>
        <v>4</v>
      </c>
      <c r="C28" s="14" t="n">
        <f aca="false">ROUND(AVERAGEIF(AI高价值场景排序!$B$2:$B$181,$A28,AI高价值场景排序!$P$2:$P$181),2)</f>
        <v>2.8</v>
      </c>
      <c r="D28" s="14" t="n">
        <f aca="false">COUNTIFS(AI高价值场景排序!$B$2:$B$181,$A28,AI高价值场景排序!$Q$2:$Q$181,"P1 立即启动")</f>
        <v>0</v>
      </c>
      <c r="E28" s="14" t="n">
        <f aca="false">COUNTIFS(AI高价值场景排序!$B$2:$B$181,$A28,AI高价值场景排序!$Q$2:$Q$181,"P2 半年内推进")</f>
        <v>0</v>
      </c>
      <c r="F28" s="15" t="s">
        <v>624</v>
      </c>
    </row>
    <row r="29" customFormat="false" ht="25.5" hidden="false" customHeight="true" outlineLevel="0" collapsed="false">
      <c r="A29" s="7" t="s">
        <v>365</v>
      </c>
      <c r="B29" s="12" t="n">
        <f aca="false">COUNTIF(AI高价值场景排序!$B$2:$B$181,$A29)</f>
        <v>15</v>
      </c>
      <c r="C29" s="12" t="n">
        <f aca="false">ROUND(AVERAGEIF(AI高价值场景排序!$B$2:$B$181,$A29,AI高价值场景排序!$P$2:$P$181),2)</f>
        <v>2.73</v>
      </c>
      <c r="D29" s="12" t="n">
        <f aca="false">COUNTIFS(AI高价值场景排序!$B$2:$B$181,$A29,AI高价值场景排序!$Q$2:$Q$181,"P1 立即启动")</f>
        <v>0</v>
      </c>
      <c r="E29" s="12" t="n">
        <f aca="false">COUNTIFS(AI高价值场景排序!$B$2:$B$181,$A29,AI高价值场景排序!$Q$2:$Q$181,"P2 半年内推进")</f>
        <v>0</v>
      </c>
      <c r="F29" s="7" t="s">
        <v>368</v>
      </c>
    </row>
    <row r="30" customFormat="false" ht="25.5" hidden="false" customHeight="true" outlineLevel="0" collapsed="false">
      <c r="A30" s="15" t="s">
        <v>920</v>
      </c>
      <c r="B30" s="14" t="n">
        <f aca="false">COUNTIF(AI高价值场景排序!$B$2:$B$181,$A30)</f>
        <v>3</v>
      </c>
      <c r="C30" s="14" t="n">
        <f aca="false">ROUND(AVERAGEIF(AI高价值场景排序!$B$2:$B$181,$A30,AI高价值场景排序!$P$2:$P$181),2)</f>
        <v>1.88</v>
      </c>
      <c r="D30" s="14" t="n">
        <f aca="false">COUNTIFS(AI高价值场景排序!$B$2:$B$181,$A30,AI高价值场景排序!$Q$2:$Q$181,"P1 立即启动")</f>
        <v>0</v>
      </c>
      <c r="E30" s="14" t="n">
        <f aca="false">COUNTIFS(AI高价值场景排序!$B$2:$B$181,$A30,AI高价值场景排序!$Q$2:$Q$181,"P2 半年内推进")</f>
        <v>0</v>
      </c>
      <c r="F30" s="15" t="s">
        <v>923</v>
      </c>
    </row>
    <row r="31" customFormat="false" ht="15" hidden="false" customHeight="false" outlineLevel="0" collapsed="false">
      <c r="A31" s="20" t="s">
        <v>973</v>
      </c>
      <c r="B31" s="20" t="n">
        <f aca="false">SUM(B3:B30)</f>
        <v>180</v>
      </c>
      <c r="C31" s="20" t="n">
        <f aca="false">ROUND(AVERAGE(AI高价值场景排序!P2:P181),2)</f>
        <v>3.23</v>
      </c>
      <c r="D31" s="20" t="n">
        <f aca="false">SUM(D3:D30)</f>
        <v>9</v>
      </c>
      <c r="E31" s="20" t="n">
        <f aca="false">SUM(E3:E30)</f>
        <v>37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20"/>
    <col collapsed="false" customWidth="true" hidden="false" outlineLevel="0" max="4" min="4" style="0" width="24"/>
    <col collapsed="false" customWidth="true" hidden="false" outlineLevel="0" max="5" min="5" style="0" width="16"/>
  </cols>
  <sheetData>
    <row r="1" customFormat="false" ht="17.35" hidden="false" customHeight="false" outlineLevel="0" collapsed="false">
      <c r="A1" s="1" t="s">
        <v>974</v>
      </c>
      <c r="B1" s="1"/>
      <c r="C1" s="1"/>
      <c r="D1" s="1"/>
      <c r="E1" s="1"/>
    </row>
    <row r="2" customFormat="false" ht="15" hidden="false" customHeight="false" outlineLevel="0" collapsed="false">
      <c r="A2" s="11" t="s">
        <v>975</v>
      </c>
      <c r="B2" s="11" t="s">
        <v>70</v>
      </c>
      <c r="C2" s="11" t="s">
        <v>71</v>
      </c>
      <c r="D2" s="11" t="s">
        <v>72</v>
      </c>
      <c r="E2" s="11" t="s">
        <v>976</v>
      </c>
    </row>
    <row r="3" customFormat="false" ht="24" hidden="false" customHeight="true" outlineLevel="0" collapsed="false">
      <c r="A3" s="7" t="s">
        <v>977</v>
      </c>
      <c r="B3" s="7" t="s">
        <v>138</v>
      </c>
      <c r="C3" s="7" t="s">
        <v>632</v>
      </c>
      <c r="D3" s="7" t="s">
        <v>633</v>
      </c>
      <c r="E3" s="12" t="n">
        <v>1</v>
      </c>
    </row>
    <row r="4" customFormat="false" ht="24" hidden="false" customHeight="true" outlineLevel="0" collapsed="false">
      <c r="A4" s="15" t="s">
        <v>977</v>
      </c>
      <c r="B4" s="17"/>
      <c r="C4" s="15" t="s">
        <v>706</v>
      </c>
      <c r="D4" s="15" t="s">
        <v>707</v>
      </c>
      <c r="E4" s="14" t="n">
        <v>1</v>
      </c>
    </row>
    <row r="5" customFormat="false" ht="24" hidden="false" customHeight="true" outlineLevel="0" collapsed="false">
      <c r="A5" s="7" t="s">
        <v>977</v>
      </c>
      <c r="B5" s="8"/>
      <c r="C5" s="7" t="s">
        <v>939</v>
      </c>
      <c r="D5" s="7" t="s">
        <v>940</v>
      </c>
      <c r="E5" s="12" t="n">
        <v>1</v>
      </c>
    </row>
    <row r="6" customFormat="false" ht="24" hidden="false" customHeight="true" outlineLevel="0" collapsed="false">
      <c r="A6" s="15" t="s">
        <v>977</v>
      </c>
      <c r="B6" s="17"/>
      <c r="C6" s="15" t="s">
        <v>756</v>
      </c>
      <c r="D6" s="15" t="s">
        <v>757</v>
      </c>
      <c r="E6" s="14" t="n">
        <v>1</v>
      </c>
    </row>
    <row r="7" customFormat="false" ht="24" hidden="false" customHeight="true" outlineLevel="0" collapsed="false">
      <c r="A7" s="7" t="s">
        <v>977</v>
      </c>
      <c r="B7" s="8"/>
      <c r="C7" s="7" t="s">
        <v>711</v>
      </c>
      <c r="D7" s="7" t="s">
        <v>712</v>
      </c>
      <c r="E7" s="12" t="n">
        <v>1</v>
      </c>
    </row>
    <row r="8" customFormat="false" ht="24" hidden="false" customHeight="true" outlineLevel="0" collapsed="false">
      <c r="A8" s="15" t="s">
        <v>977</v>
      </c>
      <c r="B8" s="17"/>
      <c r="C8" s="15" t="s">
        <v>762</v>
      </c>
      <c r="D8" s="15" t="s">
        <v>804</v>
      </c>
      <c r="E8" s="14" t="n">
        <v>1</v>
      </c>
    </row>
    <row r="9" customFormat="false" ht="24" hidden="false" customHeight="true" outlineLevel="0" collapsed="false">
      <c r="A9" s="7" t="s">
        <v>977</v>
      </c>
      <c r="B9" s="8"/>
      <c r="C9" s="7" t="s">
        <v>139</v>
      </c>
      <c r="D9" s="7" t="s">
        <v>140</v>
      </c>
      <c r="E9" s="12" t="n">
        <v>1</v>
      </c>
    </row>
    <row r="10" customFormat="false" ht="24" hidden="false" customHeight="true" outlineLevel="0" collapsed="false">
      <c r="A10" s="15" t="s">
        <v>977</v>
      </c>
      <c r="B10" s="17"/>
      <c r="C10" s="15" t="s">
        <v>799</v>
      </c>
      <c r="D10" s="15" t="s">
        <v>800</v>
      </c>
      <c r="E10" s="14" t="n">
        <v>1</v>
      </c>
    </row>
    <row r="11" customFormat="false" ht="24" hidden="false" customHeight="true" outlineLevel="0" collapsed="false">
      <c r="A11" s="7" t="s">
        <v>977</v>
      </c>
      <c r="B11" s="7" t="s">
        <v>761</v>
      </c>
      <c r="C11" s="7" t="s">
        <v>762</v>
      </c>
      <c r="D11" s="7" t="s">
        <v>763</v>
      </c>
      <c r="E11" s="12" t="n">
        <v>1</v>
      </c>
    </row>
    <row r="12" customFormat="false" ht="24" hidden="false" customHeight="true" outlineLevel="0" collapsed="false">
      <c r="A12" s="15" t="s">
        <v>977</v>
      </c>
      <c r="B12" s="15" t="s">
        <v>231</v>
      </c>
      <c r="C12" s="15" t="s">
        <v>232</v>
      </c>
      <c r="D12" s="15" t="s">
        <v>233</v>
      </c>
      <c r="E12" s="14" t="n">
        <v>1</v>
      </c>
    </row>
    <row r="13" customFormat="false" ht="24" hidden="false" customHeight="true" outlineLevel="0" collapsed="false">
      <c r="A13" s="7" t="s">
        <v>977</v>
      </c>
      <c r="B13" s="7" t="s">
        <v>411</v>
      </c>
      <c r="C13" s="7" t="s">
        <v>471</v>
      </c>
      <c r="D13" s="7" t="s">
        <v>472</v>
      </c>
      <c r="E13" s="12" t="n">
        <v>1</v>
      </c>
    </row>
    <row r="14" customFormat="false" ht="24" hidden="false" customHeight="true" outlineLevel="0" collapsed="false">
      <c r="A14" s="15" t="s">
        <v>977</v>
      </c>
      <c r="B14" s="17"/>
      <c r="C14" s="15" t="s">
        <v>751</v>
      </c>
      <c r="D14" s="15" t="s">
        <v>752</v>
      </c>
      <c r="E14" s="14" t="n">
        <v>1</v>
      </c>
    </row>
    <row r="15" customFormat="false" ht="24" hidden="false" customHeight="true" outlineLevel="0" collapsed="false">
      <c r="A15" s="7" t="s">
        <v>977</v>
      </c>
      <c r="B15" s="8"/>
      <c r="C15" s="7" t="s">
        <v>466</v>
      </c>
      <c r="D15" s="7" t="s">
        <v>467</v>
      </c>
      <c r="E15" s="12" t="n">
        <v>1</v>
      </c>
    </row>
    <row r="16" customFormat="false" ht="24" hidden="false" customHeight="true" outlineLevel="0" collapsed="false">
      <c r="A16" s="15" t="s">
        <v>977</v>
      </c>
      <c r="B16" s="17"/>
      <c r="C16" s="15" t="s">
        <v>716</v>
      </c>
      <c r="D16" s="15" t="s">
        <v>717</v>
      </c>
      <c r="E16" s="14" t="n">
        <v>1</v>
      </c>
    </row>
    <row r="17" customFormat="false" ht="24" hidden="false" customHeight="true" outlineLevel="0" collapsed="false">
      <c r="A17" s="7" t="s">
        <v>977</v>
      </c>
      <c r="B17" s="8"/>
      <c r="C17" s="7" t="s">
        <v>412</v>
      </c>
      <c r="D17" s="7" t="s">
        <v>413</v>
      </c>
      <c r="E17" s="12" t="n">
        <v>1</v>
      </c>
    </row>
    <row r="18" customFormat="false" ht="24" hidden="false" customHeight="true" outlineLevel="0" collapsed="false">
      <c r="A18" s="15" t="s">
        <v>977</v>
      </c>
      <c r="B18" s="15" t="s">
        <v>169</v>
      </c>
      <c r="C18" s="15" t="s">
        <v>376</v>
      </c>
      <c r="D18" s="15" t="s">
        <v>377</v>
      </c>
      <c r="E18" s="14" t="n">
        <v>1</v>
      </c>
    </row>
    <row r="19" customFormat="false" ht="24" hidden="false" customHeight="true" outlineLevel="0" collapsed="false">
      <c r="A19" s="7" t="s">
        <v>977</v>
      </c>
      <c r="B19" s="8"/>
      <c r="C19" s="7" t="s">
        <v>376</v>
      </c>
      <c r="D19" s="7" t="s">
        <v>519</v>
      </c>
      <c r="E19" s="12" t="n">
        <v>1</v>
      </c>
    </row>
    <row r="20" customFormat="false" ht="24" hidden="false" customHeight="true" outlineLevel="0" collapsed="false">
      <c r="A20" s="15" t="s">
        <v>977</v>
      </c>
      <c r="B20" s="17"/>
      <c r="C20" s="15" t="s">
        <v>376</v>
      </c>
      <c r="D20" s="15" t="s">
        <v>491</v>
      </c>
      <c r="E20" s="14" t="n">
        <v>1</v>
      </c>
    </row>
    <row r="21" customFormat="false" ht="24" hidden="false" customHeight="true" outlineLevel="0" collapsed="false">
      <c r="A21" s="7" t="s">
        <v>977</v>
      </c>
      <c r="B21" s="8"/>
      <c r="C21" s="7" t="s">
        <v>850</v>
      </c>
      <c r="D21" s="7" t="s">
        <v>851</v>
      </c>
      <c r="E21" s="12" t="n">
        <v>1</v>
      </c>
    </row>
    <row r="22" customFormat="false" ht="24" hidden="false" customHeight="true" outlineLevel="0" collapsed="false">
      <c r="A22" s="15" t="s">
        <v>977</v>
      </c>
      <c r="B22" s="17"/>
      <c r="C22" s="15" t="s">
        <v>456</v>
      </c>
      <c r="D22" s="15" t="s">
        <v>552</v>
      </c>
      <c r="E22" s="14" t="n">
        <v>1</v>
      </c>
    </row>
    <row r="23" customFormat="false" ht="24" hidden="false" customHeight="true" outlineLevel="0" collapsed="false">
      <c r="A23" s="7" t="s">
        <v>977</v>
      </c>
      <c r="B23" s="8"/>
      <c r="C23" s="7" t="s">
        <v>808</v>
      </c>
      <c r="D23" s="7" t="s">
        <v>809</v>
      </c>
      <c r="E23" s="12" t="n">
        <v>1</v>
      </c>
    </row>
    <row r="24" customFormat="false" ht="24" hidden="false" customHeight="true" outlineLevel="0" collapsed="false">
      <c r="A24" s="15" t="s">
        <v>977</v>
      </c>
      <c r="B24" s="17"/>
      <c r="C24" s="15" t="s">
        <v>170</v>
      </c>
      <c r="D24" s="15" t="s">
        <v>171</v>
      </c>
      <c r="E24" s="14" t="n">
        <v>1</v>
      </c>
    </row>
    <row r="25" customFormat="false" ht="24" hidden="false" customHeight="true" outlineLevel="0" collapsed="false">
      <c r="A25" s="7" t="s">
        <v>977</v>
      </c>
      <c r="B25" s="8"/>
      <c r="C25" s="7" t="s">
        <v>486</v>
      </c>
      <c r="D25" s="7" t="s">
        <v>487</v>
      </c>
      <c r="E25" s="12" t="n">
        <v>1</v>
      </c>
    </row>
    <row r="26" customFormat="false" ht="24" hidden="false" customHeight="true" outlineLevel="0" collapsed="false">
      <c r="A26" s="15" t="s">
        <v>977</v>
      </c>
      <c r="B26" s="17"/>
      <c r="C26" s="15" t="s">
        <v>818</v>
      </c>
      <c r="D26" s="15" t="s">
        <v>819</v>
      </c>
      <c r="E26" s="14" t="n">
        <v>1</v>
      </c>
    </row>
    <row r="27" customFormat="false" ht="24" hidden="false" customHeight="true" outlineLevel="0" collapsed="false">
      <c r="A27" s="7" t="s">
        <v>977</v>
      </c>
      <c r="B27" s="8"/>
      <c r="C27" s="7" t="s">
        <v>818</v>
      </c>
      <c r="D27" s="7" t="s">
        <v>823</v>
      </c>
      <c r="E27" s="12" t="n">
        <v>1</v>
      </c>
    </row>
    <row r="28" customFormat="false" ht="24" hidden="false" customHeight="true" outlineLevel="0" collapsed="false">
      <c r="A28" s="15" t="s">
        <v>977</v>
      </c>
      <c r="B28" s="15" t="s">
        <v>333</v>
      </c>
      <c r="C28" s="15" t="s">
        <v>935</v>
      </c>
      <c r="D28" s="15" t="s">
        <v>936</v>
      </c>
      <c r="E28" s="14" t="n">
        <v>1</v>
      </c>
    </row>
    <row r="29" customFormat="false" ht="24" hidden="false" customHeight="true" outlineLevel="0" collapsed="false">
      <c r="A29" s="7" t="s">
        <v>977</v>
      </c>
      <c r="B29" s="8"/>
      <c r="C29" s="7" t="s">
        <v>586</v>
      </c>
      <c r="D29" s="7" t="s">
        <v>587</v>
      </c>
      <c r="E29" s="12" t="n">
        <v>1</v>
      </c>
    </row>
    <row r="30" customFormat="false" ht="24" hidden="false" customHeight="true" outlineLevel="0" collapsed="false">
      <c r="A30" s="15" t="s">
        <v>977</v>
      </c>
      <c r="B30" s="17"/>
      <c r="C30" s="15" t="s">
        <v>495</v>
      </c>
      <c r="D30" s="15" t="s">
        <v>496</v>
      </c>
      <c r="E30" s="14" t="n">
        <v>1</v>
      </c>
    </row>
    <row r="31" customFormat="false" ht="24" hidden="false" customHeight="true" outlineLevel="0" collapsed="false">
      <c r="A31" s="7" t="s">
        <v>977</v>
      </c>
      <c r="B31" s="8"/>
      <c r="C31" s="7" t="s">
        <v>895</v>
      </c>
      <c r="D31" s="7" t="s">
        <v>896</v>
      </c>
      <c r="E31" s="12" t="n">
        <v>1</v>
      </c>
    </row>
    <row r="32" customFormat="false" ht="24" hidden="false" customHeight="true" outlineLevel="0" collapsed="false">
      <c r="A32" s="15" t="s">
        <v>977</v>
      </c>
      <c r="B32" s="17"/>
      <c r="C32" s="15" t="s">
        <v>339</v>
      </c>
      <c r="D32" s="15" t="s">
        <v>340</v>
      </c>
      <c r="E32" s="14" t="n">
        <v>1</v>
      </c>
    </row>
    <row r="33" customFormat="false" ht="24" hidden="false" customHeight="true" outlineLevel="0" collapsed="false">
      <c r="A33" s="7" t="s">
        <v>977</v>
      </c>
      <c r="B33" s="8"/>
      <c r="C33" s="7" t="s">
        <v>500</v>
      </c>
      <c r="D33" s="7" t="s">
        <v>501</v>
      </c>
      <c r="E33" s="12" t="n">
        <v>1</v>
      </c>
    </row>
    <row r="34" customFormat="false" ht="24" hidden="false" customHeight="true" outlineLevel="0" collapsed="false">
      <c r="A34" s="15" t="s">
        <v>977</v>
      </c>
      <c r="B34" s="17"/>
      <c r="C34" s="15" t="s">
        <v>334</v>
      </c>
      <c r="D34" s="15" t="s">
        <v>335</v>
      </c>
      <c r="E34" s="14" t="n">
        <v>1</v>
      </c>
    </row>
    <row r="35" customFormat="false" ht="24" hidden="false" customHeight="true" outlineLevel="0" collapsed="false">
      <c r="A35" s="7" t="s">
        <v>977</v>
      </c>
      <c r="B35" s="7" t="s">
        <v>621</v>
      </c>
      <c r="C35" s="7" t="s">
        <v>726</v>
      </c>
      <c r="D35" s="7" t="s">
        <v>727</v>
      </c>
      <c r="E35" s="12" t="n">
        <v>1</v>
      </c>
    </row>
    <row r="36" customFormat="false" ht="24" hidden="false" customHeight="true" outlineLevel="0" collapsed="false">
      <c r="A36" s="15" t="s">
        <v>977</v>
      </c>
      <c r="B36" s="17"/>
      <c r="C36" s="15" t="s">
        <v>622</v>
      </c>
      <c r="D36" s="15" t="s">
        <v>623</v>
      </c>
      <c r="E36" s="14" t="n">
        <v>1</v>
      </c>
    </row>
    <row r="37" customFormat="false" ht="24" hidden="false" customHeight="true" outlineLevel="0" collapsed="false">
      <c r="A37" s="7" t="s">
        <v>977</v>
      </c>
      <c r="B37" s="8"/>
      <c r="C37" s="7" t="s">
        <v>855</v>
      </c>
      <c r="D37" s="7" t="s">
        <v>856</v>
      </c>
      <c r="E37" s="12" t="n">
        <v>1</v>
      </c>
    </row>
    <row r="38" customFormat="false" ht="24" hidden="false" customHeight="true" outlineLevel="0" collapsed="false">
      <c r="A38" s="15" t="s">
        <v>977</v>
      </c>
      <c r="B38" s="17"/>
      <c r="C38" s="15" t="s">
        <v>912</v>
      </c>
      <c r="D38" s="15" t="s">
        <v>913</v>
      </c>
      <c r="E38" s="14" t="n">
        <v>1</v>
      </c>
    </row>
    <row r="39" customFormat="false" ht="24" hidden="false" customHeight="true" outlineLevel="0" collapsed="false">
      <c r="A39" s="7" t="s">
        <v>977</v>
      </c>
      <c r="B39" s="7" t="s">
        <v>772</v>
      </c>
      <c r="C39" s="7" t="s">
        <v>773</v>
      </c>
      <c r="D39" s="7" t="s">
        <v>774</v>
      </c>
      <c r="E39" s="12" t="n">
        <v>1</v>
      </c>
    </row>
    <row r="40" customFormat="false" ht="24" hidden="false" customHeight="true" outlineLevel="0" collapsed="false">
      <c r="A40" s="15" t="s">
        <v>977</v>
      </c>
      <c r="B40" s="15" t="s">
        <v>94</v>
      </c>
      <c r="C40" s="15" t="s">
        <v>116</v>
      </c>
      <c r="D40" s="15" t="s">
        <v>117</v>
      </c>
      <c r="E40" s="14" t="n">
        <v>1</v>
      </c>
    </row>
    <row r="41" customFormat="false" ht="24" hidden="false" customHeight="true" outlineLevel="0" collapsed="false">
      <c r="A41" s="7" t="s">
        <v>977</v>
      </c>
      <c r="B41" s="8"/>
      <c r="C41" s="7" t="s">
        <v>116</v>
      </c>
      <c r="D41" s="7" t="s">
        <v>210</v>
      </c>
      <c r="E41" s="12" t="n">
        <v>1</v>
      </c>
    </row>
    <row r="42" customFormat="false" ht="24" hidden="false" customHeight="true" outlineLevel="0" collapsed="false">
      <c r="A42" s="15" t="s">
        <v>977</v>
      </c>
      <c r="B42" s="17"/>
      <c r="C42" s="15" t="s">
        <v>214</v>
      </c>
      <c r="D42" s="15" t="s">
        <v>215</v>
      </c>
      <c r="E42" s="14" t="n">
        <v>1</v>
      </c>
    </row>
    <row r="43" customFormat="false" ht="24" hidden="false" customHeight="true" outlineLevel="0" collapsed="false">
      <c r="A43" s="7" t="s">
        <v>977</v>
      </c>
      <c r="B43" s="8"/>
      <c r="C43" s="7" t="s">
        <v>111</v>
      </c>
      <c r="D43" s="8" t="s">
        <v>417</v>
      </c>
      <c r="E43" s="12" t="n">
        <v>1</v>
      </c>
    </row>
    <row r="44" customFormat="false" ht="24" hidden="false" customHeight="true" outlineLevel="0" collapsed="false">
      <c r="A44" s="15" t="s">
        <v>977</v>
      </c>
      <c r="B44" s="17"/>
      <c r="C44" s="15" t="s">
        <v>111</v>
      </c>
      <c r="D44" s="15" t="s">
        <v>528</v>
      </c>
      <c r="E44" s="14" t="n">
        <v>1</v>
      </c>
    </row>
    <row r="45" customFormat="false" ht="24" hidden="false" customHeight="true" outlineLevel="0" collapsed="false">
      <c r="A45" s="7" t="s">
        <v>977</v>
      </c>
      <c r="B45" s="8"/>
      <c r="C45" s="7" t="s">
        <v>111</v>
      </c>
      <c r="D45" s="7" t="s">
        <v>677</v>
      </c>
      <c r="E45" s="12" t="n">
        <v>1</v>
      </c>
    </row>
    <row r="46" customFormat="false" ht="24" hidden="false" customHeight="true" outlineLevel="0" collapsed="false">
      <c r="A46" s="15" t="s">
        <v>977</v>
      </c>
      <c r="B46" s="17"/>
      <c r="C46" s="15" t="s">
        <v>121</v>
      </c>
      <c r="D46" s="15" t="s">
        <v>122</v>
      </c>
      <c r="E46" s="14" t="n">
        <v>1</v>
      </c>
    </row>
    <row r="47" customFormat="false" ht="24" hidden="false" customHeight="true" outlineLevel="0" collapsed="false">
      <c r="A47" s="7" t="s">
        <v>977</v>
      </c>
      <c r="B47" s="8"/>
      <c r="C47" s="7" t="s">
        <v>505</v>
      </c>
      <c r="D47" s="7" t="s">
        <v>506</v>
      </c>
      <c r="E47" s="12" t="n">
        <v>1</v>
      </c>
    </row>
    <row r="48" customFormat="false" ht="24" hidden="false" customHeight="true" outlineLevel="0" collapsed="false">
      <c r="A48" s="15" t="s">
        <v>977</v>
      </c>
      <c r="B48" s="17"/>
      <c r="C48" s="15" t="s">
        <v>205</v>
      </c>
      <c r="D48" s="15" t="s">
        <v>206</v>
      </c>
      <c r="E48" s="14" t="n">
        <v>1</v>
      </c>
    </row>
    <row r="49" customFormat="false" ht="24" hidden="false" customHeight="true" outlineLevel="0" collapsed="false">
      <c r="A49" s="7" t="s">
        <v>977</v>
      </c>
      <c r="B49" s="8"/>
      <c r="C49" s="7" t="s">
        <v>158</v>
      </c>
      <c r="D49" s="7" t="s">
        <v>159</v>
      </c>
      <c r="E49" s="12" t="n">
        <v>1</v>
      </c>
    </row>
    <row r="50" customFormat="false" ht="24" hidden="false" customHeight="true" outlineLevel="0" collapsed="false">
      <c r="A50" s="15" t="s">
        <v>977</v>
      </c>
      <c r="B50" s="17"/>
      <c r="C50" s="15" t="s">
        <v>158</v>
      </c>
      <c r="D50" s="15" t="s">
        <v>865</v>
      </c>
      <c r="E50" s="14" t="n">
        <v>1</v>
      </c>
    </row>
    <row r="51" customFormat="false" ht="24" hidden="false" customHeight="true" outlineLevel="0" collapsed="false">
      <c r="A51" s="7" t="s">
        <v>977</v>
      </c>
      <c r="B51" s="8"/>
      <c r="C51" s="7" t="s">
        <v>158</v>
      </c>
      <c r="D51" s="7" t="s">
        <v>681</v>
      </c>
      <c r="E51" s="12" t="n">
        <v>1</v>
      </c>
    </row>
    <row r="52" customFormat="false" ht="24" hidden="false" customHeight="true" outlineLevel="0" collapsed="false">
      <c r="A52" s="15" t="s">
        <v>977</v>
      </c>
      <c r="B52" s="17"/>
      <c r="C52" s="15" t="s">
        <v>144</v>
      </c>
      <c r="D52" s="15" t="s">
        <v>145</v>
      </c>
      <c r="E52" s="14" t="n">
        <v>1</v>
      </c>
    </row>
    <row r="53" customFormat="false" ht="24" hidden="false" customHeight="true" outlineLevel="0" collapsed="false">
      <c r="A53" s="7" t="s">
        <v>977</v>
      </c>
      <c r="B53" s="8"/>
      <c r="C53" s="7" t="s">
        <v>144</v>
      </c>
      <c r="D53" s="7" t="s">
        <v>304</v>
      </c>
      <c r="E53" s="12" t="n">
        <v>1</v>
      </c>
    </row>
    <row r="54" customFormat="false" ht="24" hidden="false" customHeight="true" outlineLevel="0" collapsed="false">
      <c r="A54" s="15" t="s">
        <v>977</v>
      </c>
      <c r="B54" s="17"/>
      <c r="C54" s="15" t="s">
        <v>149</v>
      </c>
      <c r="D54" s="15" t="s">
        <v>150</v>
      </c>
      <c r="E54" s="14" t="n">
        <v>1</v>
      </c>
    </row>
    <row r="55" customFormat="false" ht="24" hidden="false" customHeight="true" outlineLevel="0" collapsed="false">
      <c r="A55" s="7" t="s">
        <v>977</v>
      </c>
      <c r="B55" s="8"/>
      <c r="C55" s="7" t="s">
        <v>149</v>
      </c>
      <c r="D55" s="7" t="s">
        <v>154</v>
      </c>
      <c r="E55" s="12" t="n">
        <v>1</v>
      </c>
    </row>
    <row r="56" customFormat="false" ht="24" hidden="false" customHeight="true" outlineLevel="0" collapsed="false">
      <c r="A56" s="15" t="s">
        <v>977</v>
      </c>
      <c r="B56" s="17"/>
      <c r="C56" s="15" t="s">
        <v>95</v>
      </c>
      <c r="D56" s="15" t="s">
        <v>96</v>
      </c>
      <c r="E56" s="14" t="n">
        <v>1</v>
      </c>
    </row>
    <row r="57" customFormat="false" ht="24" hidden="false" customHeight="true" outlineLevel="0" collapsed="false">
      <c r="A57" s="7" t="s">
        <v>977</v>
      </c>
      <c r="B57" s="8"/>
      <c r="C57" s="7" t="s">
        <v>288</v>
      </c>
      <c r="D57" s="7" t="s">
        <v>289</v>
      </c>
      <c r="E57" s="12" t="n">
        <v>1</v>
      </c>
    </row>
    <row r="58" customFormat="false" ht="24" hidden="false" customHeight="true" outlineLevel="0" collapsed="false">
      <c r="A58" s="15" t="s">
        <v>977</v>
      </c>
      <c r="B58" s="17"/>
      <c r="C58" s="15" t="s">
        <v>175</v>
      </c>
      <c r="D58" s="15" t="s">
        <v>176</v>
      </c>
      <c r="E58" s="14" t="n">
        <v>1</v>
      </c>
    </row>
    <row r="59" customFormat="false" ht="24" hidden="false" customHeight="true" outlineLevel="0" collapsed="false">
      <c r="A59" s="7" t="s">
        <v>977</v>
      </c>
      <c r="B59" s="8"/>
      <c r="C59" s="7" t="s">
        <v>731</v>
      </c>
      <c r="D59" s="7" t="s">
        <v>732</v>
      </c>
      <c r="E59" s="12" t="n">
        <v>1</v>
      </c>
    </row>
    <row r="60" customFormat="false" ht="24" hidden="false" customHeight="true" outlineLevel="0" collapsed="false">
      <c r="A60" s="15" t="s">
        <v>977</v>
      </c>
      <c r="B60" s="15" t="s">
        <v>163</v>
      </c>
      <c r="C60" s="15" t="s">
        <v>925</v>
      </c>
      <c r="D60" s="15" t="s">
        <v>926</v>
      </c>
      <c r="E60" s="14" t="n">
        <v>1</v>
      </c>
    </row>
    <row r="61" customFormat="false" ht="24" hidden="false" customHeight="true" outlineLevel="0" collapsed="false">
      <c r="A61" s="7" t="s">
        <v>977</v>
      </c>
      <c r="B61" s="8"/>
      <c r="C61" s="7" t="s">
        <v>344</v>
      </c>
      <c r="D61" s="7" t="s">
        <v>736</v>
      </c>
      <c r="E61" s="12" t="n">
        <v>1</v>
      </c>
    </row>
    <row r="62" customFormat="false" ht="24" hidden="false" customHeight="true" outlineLevel="0" collapsed="false">
      <c r="A62" s="15" t="s">
        <v>977</v>
      </c>
      <c r="B62" s="17"/>
      <c r="C62" s="15" t="s">
        <v>344</v>
      </c>
      <c r="D62" s="15" t="s">
        <v>345</v>
      </c>
      <c r="E62" s="14" t="n">
        <v>1</v>
      </c>
    </row>
    <row r="63" customFormat="false" ht="24" hidden="false" customHeight="true" outlineLevel="0" collapsed="false">
      <c r="A63" s="7" t="s">
        <v>977</v>
      </c>
      <c r="B63" s="8"/>
      <c r="C63" s="7" t="s">
        <v>537</v>
      </c>
      <c r="D63" s="7" t="s">
        <v>538</v>
      </c>
      <c r="E63" s="12" t="n">
        <v>2</v>
      </c>
    </row>
    <row r="64" customFormat="false" ht="24" hidden="false" customHeight="true" outlineLevel="0" collapsed="false">
      <c r="A64" s="15" t="s">
        <v>977</v>
      </c>
      <c r="B64" s="17"/>
      <c r="C64" s="15" t="s">
        <v>164</v>
      </c>
      <c r="D64" s="15" t="s">
        <v>165</v>
      </c>
      <c r="E64" s="14" t="n">
        <v>1</v>
      </c>
    </row>
    <row r="65" customFormat="false" ht="24" hidden="false" customHeight="true" outlineLevel="0" collapsed="false">
      <c r="A65" s="7" t="s">
        <v>977</v>
      </c>
      <c r="B65" s="8"/>
      <c r="C65" s="7" t="s">
        <v>874</v>
      </c>
      <c r="D65" s="7" t="s">
        <v>875</v>
      </c>
      <c r="E65" s="12" t="n">
        <v>1</v>
      </c>
    </row>
    <row r="66" customFormat="false" ht="24" hidden="false" customHeight="true" outlineLevel="0" collapsed="false">
      <c r="A66" s="15" t="s">
        <v>977</v>
      </c>
      <c r="B66" s="17"/>
      <c r="C66" s="15" t="s">
        <v>349</v>
      </c>
      <c r="D66" s="15" t="s">
        <v>350</v>
      </c>
      <c r="E66" s="14" t="n">
        <v>1</v>
      </c>
    </row>
    <row r="67" customFormat="false" ht="24" hidden="false" customHeight="true" outlineLevel="0" collapsed="false">
      <c r="A67" s="7" t="s">
        <v>977</v>
      </c>
      <c r="B67" s="8"/>
      <c r="C67" s="7" t="s">
        <v>903</v>
      </c>
      <c r="D67" s="7" t="s">
        <v>904</v>
      </c>
      <c r="E67" s="12" t="n">
        <v>1</v>
      </c>
    </row>
    <row r="68" customFormat="false" ht="24" hidden="false" customHeight="true" outlineLevel="0" collapsed="false">
      <c r="A68" s="15" t="s">
        <v>977</v>
      </c>
      <c r="B68" s="17"/>
      <c r="C68" s="15" t="s">
        <v>781</v>
      </c>
      <c r="D68" s="15" t="s">
        <v>782</v>
      </c>
      <c r="E68" s="14" t="n">
        <v>1</v>
      </c>
    </row>
    <row r="69" customFormat="false" ht="24" hidden="false" customHeight="true" outlineLevel="0" collapsed="false">
      <c r="A69" s="7" t="s">
        <v>977</v>
      </c>
      <c r="B69" s="7" t="s">
        <v>354</v>
      </c>
      <c r="C69" s="8" t="s">
        <v>647</v>
      </c>
      <c r="D69" s="8" t="s">
        <v>832</v>
      </c>
      <c r="E69" s="12" t="n">
        <v>1</v>
      </c>
    </row>
    <row r="70" customFormat="false" ht="24" hidden="false" customHeight="true" outlineLevel="0" collapsed="false">
      <c r="A70" s="15" t="s">
        <v>977</v>
      </c>
      <c r="B70" s="17"/>
      <c r="C70" s="17" t="s">
        <v>647</v>
      </c>
      <c r="D70" s="15" t="s">
        <v>648</v>
      </c>
      <c r="E70" s="14" t="n">
        <v>1</v>
      </c>
    </row>
    <row r="71" customFormat="false" ht="24" hidden="false" customHeight="true" outlineLevel="0" collapsed="false">
      <c r="A71" s="7" t="s">
        <v>977</v>
      </c>
      <c r="B71" s="8"/>
      <c r="C71" s="7" t="s">
        <v>421</v>
      </c>
      <c r="D71" s="7" t="s">
        <v>879</v>
      </c>
      <c r="E71" s="12" t="n">
        <v>1</v>
      </c>
    </row>
    <row r="72" customFormat="false" ht="24" hidden="false" customHeight="true" outlineLevel="0" collapsed="false">
      <c r="A72" s="15" t="s">
        <v>977</v>
      </c>
      <c r="B72" s="17"/>
      <c r="C72" s="15" t="s">
        <v>421</v>
      </c>
      <c r="D72" s="15" t="s">
        <v>422</v>
      </c>
      <c r="E72" s="14" t="n">
        <v>1</v>
      </c>
    </row>
    <row r="73" customFormat="false" ht="24" hidden="false" customHeight="true" outlineLevel="0" collapsed="false">
      <c r="A73" s="7" t="s">
        <v>977</v>
      </c>
      <c r="B73" s="8"/>
      <c r="C73" s="7" t="s">
        <v>397</v>
      </c>
      <c r="D73" s="7" t="s">
        <v>398</v>
      </c>
      <c r="E73" s="12" t="n">
        <v>1</v>
      </c>
    </row>
    <row r="74" customFormat="false" ht="24" hidden="false" customHeight="true" outlineLevel="0" collapsed="false">
      <c r="A74" s="15" t="s">
        <v>977</v>
      </c>
      <c r="B74" s="17"/>
      <c r="C74" s="15" t="s">
        <v>355</v>
      </c>
      <c r="D74" s="15" t="s">
        <v>356</v>
      </c>
      <c r="E74" s="14" t="n">
        <v>1</v>
      </c>
    </row>
    <row r="75" customFormat="false" ht="24" hidden="false" customHeight="true" outlineLevel="0" collapsed="false">
      <c r="A75" s="7" t="s">
        <v>977</v>
      </c>
      <c r="B75" s="8"/>
      <c r="C75" s="7" t="s">
        <v>836</v>
      </c>
      <c r="D75" s="7" t="s">
        <v>837</v>
      </c>
      <c r="E75" s="12" t="n">
        <v>1</v>
      </c>
    </row>
    <row r="76" customFormat="false" ht="24" hidden="false" customHeight="true" outlineLevel="0" collapsed="false">
      <c r="A76" s="15" t="s">
        <v>977</v>
      </c>
      <c r="B76" s="17"/>
      <c r="C76" s="15" t="s">
        <v>827</v>
      </c>
      <c r="D76" s="15" t="s">
        <v>828</v>
      </c>
      <c r="E76" s="14" t="n">
        <v>1</v>
      </c>
    </row>
    <row r="77" customFormat="false" ht="24" hidden="false" customHeight="true" outlineLevel="0" collapsed="false">
      <c r="A77" s="7" t="s">
        <v>977</v>
      </c>
      <c r="B77" s="8"/>
      <c r="C77" s="7" t="s">
        <v>591</v>
      </c>
      <c r="D77" s="7" t="s">
        <v>592</v>
      </c>
      <c r="E77" s="12" t="n">
        <v>1</v>
      </c>
    </row>
    <row r="78" customFormat="false" ht="24" hidden="false" customHeight="true" outlineLevel="0" collapsed="false">
      <c r="A78" s="15" t="s">
        <v>977</v>
      </c>
      <c r="B78" s="15" t="s">
        <v>426</v>
      </c>
      <c r="C78" s="15" t="s">
        <v>427</v>
      </c>
      <c r="D78" s="15" t="s">
        <v>428</v>
      </c>
      <c r="E78" s="14" t="n">
        <v>1</v>
      </c>
    </row>
    <row r="79" customFormat="false" ht="24" hidden="false" customHeight="true" outlineLevel="0" collapsed="false">
      <c r="A79" s="7" t="s">
        <v>977</v>
      </c>
      <c r="B79" s="8"/>
      <c r="C79" s="7" t="s">
        <v>721</v>
      </c>
      <c r="D79" s="7" t="s">
        <v>722</v>
      </c>
      <c r="E79" s="12" t="n">
        <v>1</v>
      </c>
    </row>
    <row r="80" customFormat="false" ht="24" hidden="false" customHeight="true" outlineLevel="0" collapsed="false">
      <c r="A80" s="15" t="s">
        <v>977</v>
      </c>
      <c r="B80" s="17"/>
      <c r="C80" s="15" t="s">
        <v>601</v>
      </c>
      <c r="D80" s="15" t="s">
        <v>602</v>
      </c>
      <c r="E80" s="14" t="n">
        <v>1</v>
      </c>
    </row>
    <row r="81" customFormat="false" ht="24" hidden="false" customHeight="true" outlineLevel="0" collapsed="false">
      <c r="A81" s="7" t="s">
        <v>977</v>
      </c>
      <c r="B81" s="8"/>
      <c r="C81" s="7" t="s">
        <v>596</v>
      </c>
      <c r="D81" s="7" t="s">
        <v>597</v>
      </c>
      <c r="E81" s="12" t="n">
        <v>1</v>
      </c>
    </row>
    <row r="82" customFormat="false" ht="24" hidden="false" customHeight="true" outlineLevel="0" collapsed="false">
      <c r="A82" s="15" t="s">
        <v>977</v>
      </c>
      <c r="B82" s="15" t="s">
        <v>256</v>
      </c>
      <c r="C82" s="15" t="s">
        <v>257</v>
      </c>
      <c r="D82" s="15" t="s">
        <v>258</v>
      </c>
      <c r="E82" s="14" t="n">
        <v>1</v>
      </c>
    </row>
    <row r="83" customFormat="false" ht="24" hidden="false" customHeight="true" outlineLevel="0" collapsed="false">
      <c r="A83" s="7" t="s">
        <v>977</v>
      </c>
      <c r="B83" s="8"/>
      <c r="C83" s="7" t="s">
        <v>451</v>
      </c>
      <c r="D83" s="7" t="s">
        <v>452</v>
      </c>
      <c r="E83" s="12" t="n">
        <v>1</v>
      </c>
    </row>
    <row r="84" customFormat="false" ht="24" hidden="false" customHeight="true" outlineLevel="0" collapsed="false">
      <c r="A84" s="15" t="s">
        <v>977</v>
      </c>
      <c r="B84" s="17"/>
      <c r="C84" s="15" t="s">
        <v>437</v>
      </c>
      <c r="D84" s="15" t="s">
        <v>438</v>
      </c>
      <c r="E84" s="14" t="n">
        <v>1</v>
      </c>
    </row>
    <row r="85" customFormat="false" ht="24" hidden="false" customHeight="true" outlineLevel="0" collapsed="false">
      <c r="A85" s="7" t="s">
        <v>977</v>
      </c>
      <c r="B85" s="8"/>
      <c r="C85" s="7" t="s">
        <v>437</v>
      </c>
      <c r="D85" s="7" t="s">
        <v>606</v>
      </c>
      <c r="E85" s="12" t="n">
        <v>1</v>
      </c>
    </row>
    <row r="86" customFormat="false" ht="24" hidden="false" customHeight="true" outlineLevel="0" collapsed="false">
      <c r="A86" s="15" t="s">
        <v>977</v>
      </c>
      <c r="B86" s="17"/>
      <c r="C86" s="15" t="s">
        <v>427</v>
      </c>
      <c r="D86" s="15" t="s">
        <v>447</v>
      </c>
      <c r="E86" s="14" t="n">
        <v>1</v>
      </c>
    </row>
    <row r="87" customFormat="false" ht="24" hidden="false" customHeight="true" outlineLevel="0" collapsed="false">
      <c r="A87" s="7" t="s">
        <v>977</v>
      </c>
      <c r="B87" s="8"/>
      <c r="C87" s="7" t="s">
        <v>907</v>
      </c>
      <c r="D87" s="7" t="s">
        <v>908</v>
      </c>
      <c r="E87" s="12" t="n">
        <v>1</v>
      </c>
    </row>
    <row r="88" customFormat="false" ht="24" hidden="false" customHeight="true" outlineLevel="0" collapsed="false">
      <c r="A88" s="15" t="s">
        <v>977</v>
      </c>
      <c r="B88" s="17"/>
      <c r="C88" s="15" t="s">
        <v>360</v>
      </c>
      <c r="D88" s="15" t="s">
        <v>361</v>
      </c>
      <c r="E88" s="14" t="n">
        <v>1</v>
      </c>
    </row>
    <row r="89" customFormat="false" ht="24" hidden="false" customHeight="true" outlineLevel="0" collapsed="false">
      <c r="A89" s="7" t="s">
        <v>977</v>
      </c>
      <c r="B89" s="8"/>
      <c r="C89" s="7" t="s">
        <v>360</v>
      </c>
      <c r="D89" s="7" t="s">
        <v>740</v>
      </c>
      <c r="E89" s="12" t="n">
        <v>1</v>
      </c>
    </row>
    <row r="90" customFormat="false" ht="24" hidden="false" customHeight="true" outlineLevel="0" collapsed="false">
      <c r="A90" s="15" t="s">
        <v>977</v>
      </c>
      <c r="B90" s="17"/>
      <c r="C90" s="15" t="s">
        <v>442</v>
      </c>
      <c r="D90" s="15" t="s">
        <v>443</v>
      </c>
      <c r="E90" s="14" t="n">
        <v>1</v>
      </c>
    </row>
    <row r="91" customFormat="false" ht="24" hidden="false" customHeight="true" outlineLevel="0" collapsed="false">
      <c r="A91" s="7" t="s">
        <v>977</v>
      </c>
      <c r="B91" s="8"/>
      <c r="C91" s="7" t="s">
        <v>432</v>
      </c>
      <c r="D91" s="7" t="s">
        <v>433</v>
      </c>
      <c r="E91" s="12" t="n">
        <v>1</v>
      </c>
    </row>
    <row r="92" customFormat="false" ht="24" hidden="false" customHeight="true" outlineLevel="0" collapsed="false">
      <c r="A92" s="15" t="s">
        <v>977</v>
      </c>
      <c r="B92" s="15" t="s">
        <v>126</v>
      </c>
      <c r="C92" s="15" t="s">
        <v>627</v>
      </c>
      <c r="D92" s="15" t="s">
        <v>628</v>
      </c>
      <c r="E92" s="14" t="n">
        <v>1</v>
      </c>
    </row>
    <row r="93" customFormat="false" ht="24" hidden="false" customHeight="true" outlineLevel="0" collapsed="false">
      <c r="A93" s="7" t="s">
        <v>977</v>
      </c>
      <c r="B93" s="8"/>
      <c r="C93" s="7" t="s">
        <v>262</v>
      </c>
      <c r="D93" s="7" t="s">
        <v>263</v>
      </c>
      <c r="E93" s="12" t="n">
        <v>1</v>
      </c>
    </row>
    <row r="94" customFormat="false" ht="24" hidden="false" customHeight="true" outlineLevel="0" collapsed="false">
      <c r="A94" s="15" t="s">
        <v>977</v>
      </c>
      <c r="B94" s="17"/>
      <c r="C94" s="15" t="s">
        <v>262</v>
      </c>
      <c r="D94" s="15" t="s">
        <v>402</v>
      </c>
      <c r="E94" s="14" t="n">
        <v>1</v>
      </c>
    </row>
    <row r="95" customFormat="false" ht="24" hidden="false" customHeight="true" outlineLevel="0" collapsed="false">
      <c r="A95" s="7" t="s">
        <v>977</v>
      </c>
      <c r="B95" s="8"/>
      <c r="C95" s="7" t="s">
        <v>883</v>
      </c>
      <c r="D95" s="7" t="s">
        <v>884</v>
      </c>
      <c r="E95" s="12" t="n">
        <v>1</v>
      </c>
    </row>
    <row r="96" customFormat="false" ht="24" hidden="false" customHeight="true" outlineLevel="0" collapsed="false">
      <c r="A96" s="15" t="s">
        <v>977</v>
      </c>
      <c r="B96" s="17"/>
      <c r="C96" s="15" t="s">
        <v>267</v>
      </c>
      <c r="D96" s="15" t="s">
        <v>268</v>
      </c>
      <c r="E96" s="14" t="n">
        <v>1</v>
      </c>
    </row>
    <row r="97" customFormat="false" ht="24" hidden="false" customHeight="true" outlineLevel="0" collapsed="false">
      <c r="A97" s="7" t="s">
        <v>977</v>
      </c>
      <c r="B97" s="8"/>
      <c r="C97" s="7" t="s">
        <v>662</v>
      </c>
      <c r="D97" s="7" t="s">
        <v>663</v>
      </c>
      <c r="E97" s="12" t="n">
        <v>1</v>
      </c>
    </row>
    <row r="98" customFormat="false" ht="24" hidden="false" customHeight="true" outlineLevel="0" collapsed="false">
      <c r="A98" s="15" t="s">
        <v>977</v>
      </c>
      <c r="B98" s="17"/>
      <c r="C98" s="15" t="s">
        <v>456</v>
      </c>
      <c r="D98" s="15" t="s">
        <v>457</v>
      </c>
      <c r="E98" s="14" t="n">
        <v>1</v>
      </c>
    </row>
    <row r="99" customFormat="false" ht="24" hidden="false" customHeight="true" outlineLevel="0" collapsed="false">
      <c r="A99" s="7" t="s">
        <v>977</v>
      </c>
      <c r="B99" s="8"/>
      <c r="C99" s="7" t="s">
        <v>657</v>
      </c>
      <c r="D99" s="7" t="s">
        <v>658</v>
      </c>
      <c r="E99" s="12" t="n">
        <v>1</v>
      </c>
    </row>
    <row r="100" customFormat="false" ht="24" hidden="false" customHeight="true" outlineLevel="0" collapsed="false">
      <c r="A100" s="15" t="s">
        <v>977</v>
      </c>
      <c r="B100" s="17"/>
      <c r="C100" s="15" t="s">
        <v>786</v>
      </c>
      <c r="D100" s="15" t="s">
        <v>787</v>
      </c>
      <c r="E100" s="14" t="n">
        <v>1</v>
      </c>
    </row>
    <row r="101" customFormat="false" ht="24" hidden="false" customHeight="true" outlineLevel="0" collapsed="false">
      <c r="A101" s="7" t="s">
        <v>977</v>
      </c>
      <c r="B101" s="8"/>
      <c r="C101" s="7" t="s">
        <v>200</v>
      </c>
      <c r="D101" s="7" t="s">
        <v>201</v>
      </c>
      <c r="E101" s="12" t="n">
        <v>1</v>
      </c>
    </row>
    <row r="102" customFormat="false" ht="24" hidden="false" customHeight="true" outlineLevel="0" collapsed="false">
      <c r="A102" s="15" t="s">
        <v>977</v>
      </c>
      <c r="B102" s="17"/>
      <c r="C102" s="15" t="s">
        <v>542</v>
      </c>
      <c r="D102" s="15" t="s">
        <v>702</v>
      </c>
      <c r="E102" s="14" t="n">
        <v>1</v>
      </c>
    </row>
    <row r="103" customFormat="false" ht="24" hidden="false" customHeight="true" outlineLevel="0" collapsed="false">
      <c r="A103" s="7" t="s">
        <v>977</v>
      </c>
      <c r="B103" s="8"/>
      <c r="C103" s="7" t="s">
        <v>127</v>
      </c>
      <c r="D103" s="7" t="s">
        <v>196</v>
      </c>
      <c r="E103" s="12" t="n">
        <v>1</v>
      </c>
    </row>
    <row r="104" customFormat="false" ht="24" hidden="false" customHeight="true" outlineLevel="0" collapsed="false">
      <c r="A104" s="15" t="s">
        <v>977</v>
      </c>
      <c r="B104" s="17"/>
      <c r="C104" s="15" t="s">
        <v>127</v>
      </c>
      <c r="D104" s="15" t="s">
        <v>128</v>
      </c>
      <c r="E104" s="14" t="n">
        <v>1</v>
      </c>
    </row>
    <row r="105" customFormat="false" ht="24" hidden="false" customHeight="true" outlineLevel="0" collapsed="false">
      <c r="A105" s="7" t="s">
        <v>977</v>
      </c>
      <c r="B105" s="8"/>
      <c r="C105" s="7" t="s">
        <v>283</v>
      </c>
      <c r="D105" s="7" t="s">
        <v>284</v>
      </c>
      <c r="E105" s="12" t="n">
        <v>1</v>
      </c>
    </row>
    <row r="106" customFormat="false" ht="24" hidden="false" customHeight="true" outlineLevel="0" collapsed="false">
      <c r="A106" s="15" t="s">
        <v>977</v>
      </c>
      <c r="B106" s="17"/>
      <c r="C106" s="15" t="s">
        <v>652</v>
      </c>
      <c r="D106" s="15" t="s">
        <v>653</v>
      </c>
      <c r="E106" s="14" t="n">
        <v>1</v>
      </c>
    </row>
    <row r="107" customFormat="false" ht="24" hidden="false" customHeight="true" outlineLevel="0" collapsed="false">
      <c r="A107" s="7" t="s">
        <v>977</v>
      </c>
      <c r="B107" s="7" t="s">
        <v>610</v>
      </c>
      <c r="C107" s="7" t="s">
        <v>616</v>
      </c>
      <c r="D107" s="7" t="s">
        <v>617</v>
      </c>
      <c r="E107" s="12" t="n">
        <v>1</v>
      </c>
    </row>
    <row r="108" customFormat="false" ht="24" hidden="false" customHeight="true" outlineLevel="0" collapsed="false">
      <c r="A108" s="15" t="s">
        <v>977</v>
      </c>
      <c r="B108" s="17"/>
      <c r="C108" s="15" t="s">
        <v>795</v>
      </c>
      <c r="D108" s="15" t="s">
        <v>796</v>
      </c>
      <c r="E108" s="14" t="n">
        <v>1</v>
      </c>
    </row>
    <row r="109" customFormat="false" ht="24" hidden="false" customHeight="true" outlineLevel="0" collapsed="false">
      <c r="A109" s="7" t="s">
        <v>977</v>
      </c>
      <c r="B109" s="8"/>
      <c r="C109" s="7" t="s">
        <v>611</v>
      </c>
      <c r="D109" s="7" t="s">
        <v>612</v>
      </c>
      <c r="E109" s="12" t="n">
        <v>1</v>
      </c>
    </row>
    <row r="110" customFormat="false" ht="24" hidden="false" customHeight="true" outlineLevel="0" collapsed="false">
      <c r="A110" s="15" t="s">
        <v>977</v>
      </c>
      <c r="B110" s="17"/>
      <c r="C110" s="15" t="s">
        <v>226</v>
      </c>
      <c r="D110" s="15" t="s">
        <v>791</v>
      </c>
      <c r="E110" s="14" t="n">
        <v>1</v>
      </c>
    </row>
    <row r="111" customFormat="false" ht="24" hidden="false" customHeight="true" outlineLevel="0" collapsed="false">
      <c r="A111" s="7" t="s">
        <v>977</v>
      </c>
      <c r="B111" s="7" t="s">
        <v>920</v>
      </c>
      <c r="C111" s="7" t="s">
        <v>952</v>
      </c>
      <c r="D111" s="7" t="s">
        <v>953</v>
      </c>
      <c r="E111" s="12" t="n">
        <v>1</v>
      </c>
    </row>
    <row r="112" customFormat="false" ht="24" hidden="false" customHeight="true" outlineLevel="0" collapsed="false">
      <c r="A112" s="15" t="s">
        <v>977</v>
      </c>
      <c r="B112" s="17"/>
      <c r="C112" s="15" t="s">
        <v>957</v>
      </c>
      <c r="D112" s="15" t="s">
        <v>958</v>
      </c>
      <c r="E112" s="14" t="n">
        <v>1</v>
      </c>
    </row>
    <row r="113" customFormat="false" ht="24" hidden="false" customHeight="true" outlineLevel="0" collapsed="false">
      <c r="A113" s="7" t="s">
        <v>977</v>
      </c>
      <c r="B113" s="8"/>
      <c r="C113" s="7" t="s">
        <v>921</v>
      </c>
      <c r="D113" s="7" t="s">
        <v>922</v>
      </c>
      <c r="E113" s="12" t="n">
        <v>1</v>
      </c>
    </row>
    <row r="114" customFormat="false" ht="24" hidden="false" customHeight="true" outlineLevel="0" collapsed="false">
      <c r="A114" s="15" t="s">
        <v>977</v>
      </c>
      <c r="B114" s="15" t="s">
        <v>272</v>
      </c>
      <c r="C114" s="15" t="s">
        <v>451</v>
      </c>
      <c r="D114" s="15" t="s">
        <v>899</v>
      </c>
      <c r="E114" s="14" t="n">
        <v>1</v>
      </c>
    </row>
    <row r="115" customFormat="false" ht="24" hidden="false" customHeight="true" outlineLevel="0" collapsed="false">
      <c r="A115" s="7" t="s">
        <v>977</v>
      </c>
      <c r="B115" s="8"/>
      <c r="C115" s="7" t="s">
        <v>813</v>
      </c>
      <c r="D115" s="7" t="s">
        <v>814</v>
      </c>
      <c r="E115" s="12" t="n">
        <v>1</v>
      </c>
    </row>
    <row r="116" customFormat="false" ht="24" hidden="false" customHeight="true" outlineLevel="0" collapsed="false">
      <c r="A116" s="15" t="s">
        <v>977</v>
      </c>
      <c r="B116" s="17"/>
      <c r="C116" s="15" t="s">
        <v>561</v>
      </c>
      <c r="D116" s="15" t="s">
        <v>562</v>
      </c>
      <c r="E116" s="14" t="n">
        <v>1</v>
      </c>
    </row>
    <row r="117" customFormat="false" ht="24" hidden="false" customHeight="true" outlineLevel="0" collapsed="false">
      <c r="A117" s="7" t="s">
        <v>977</v>
      </c>
      <c r="B117" s="8"/>
      <c r="C117" s="7" t="s">
        <v>667</v>
      </c>
      <c r="D117" s="7" t="s">
        <v>668</v>
      </c>
      <c r="E117" s="12" t="n">
        <v>1</v>
      </c>
    </row>
    <row r="118" customFormat="false" ht="24" hidden="false" customHeight="true" outlineLevel="0" collapsed="false">
      <c r="A118" s="15" t="s">
        <v>977</v>
      </c>
      <c r="B118" s="17"/>
      <c r="C118" s="15" t="s">
        <v>371</v>
      </c>
      <c r="D118" s="15" t="s">
        <v>372</v>
      </c>
      <c r="E118" s="14" t="n">
        <v>1</v>
      </c>
    </row>
    <row r="119" customFormat="false" ht="24" hidden="false" customHeight="true" outlineLevel="0" collapsed="false">
      <c r="A119" s="7" t="s">
        <v>977</v>
      </c>
      <c r="B119" s="8"/>
      <c r="C119" s="7" t="s">
        <v>566</v>
      </c>
      <c r="D119" s="7" t="s">
        <v>324</v>
      </c>
      <c r="E119" s="12" t="n">
        <v>1</v>
      </c>
    </row>
    <row r="120" customFormat="false" ht="24" hidden="false" customHeight="true" outlineLevel="0" collapsed="false">
      <c r="A120" s="15" t="s">
        <v>977</v>
      </c>
      <c r="B120" s="17"/>
      <c r="C120" s="15" t="s">
        <v>273</v>
      </c>
      <c r="D120" s="15" t="s">
        <v>274</v>
      </c>
      <c r="E120" s="14" t="n">
        <v>1</v>
      </c>
    </row>
    <row r="121" customFormat="false" ht="24" hidden="false" customHeight="true" outlineLevel="0" collapsed="false">
      <c r="A121" s="7" t="s">
        <v>977</v>
      </c>
      <c r="B121" s="8"/>
      <c r="C121" s="7" t="s">
        <v>542</v>
      </c>
      <c r="D121" s="7" t="s">
        <v>888</v>
      </c>
      <c r="E121" s="12" t="n">
        <v>1</v>
      </c>
    </row>
    <row r="122" customFormat="false" ht="24" hidden="false" customHeight="true" outlineLevel="0" collapsed="false">
      <c r="A122" s="15" t="s">
        <v>977</v>
      </c>
      <c r="B122" s="17"/>
      <c r="C122" s="15" t="s">
        <v>556</v>
      </c>
      <c r="D122" s="15" t="s">
        <v>557</v>
      </c>
      <c r="E122" s="14" t="n">
        <v>1</v>
      </c>
    </row>
    <row r="123" customFormat="false" ht="24" hidden="false" customHeight="true" outlineLevel="0" collapsed="false">
      <c r="A123" s="7" t="s">
        <v>977</v>
      </c>
      <c r="B123" s="8"/>
      <c r="C123" s="7" t="s">
        <v>841</v>
      </c>
      <c r="D123" s="7" t="s">
        <v>842</v>
      </c>
      <c r="E123" s="12" t="n">
        <v>1</v>
      </c>
    </row>
    <row r="124" customFormat="false" ht="24" hidden="false" customHeight="true" outlineLevel="0" collapsed="false">
      <c r="A124" s="15" t="s">
        <v>978</v>
      </c>
      <c r="B124" s="15" t="s">
        <v>580</v>
      </c>
      <c r="C124" s="15" t="s">
        <v>672</v>
      </c>
      <c r="D124" s="15" t="s">
        <v>673</v>
      </c>
      <c r="E124" s="14" t="n">
        <v>1</v>
      </c>
    </row>
    <row r="125" customFormat="false" ht="24" hidden="false" customHeight="true" outlineLevel="0" collapsed="false">
      <c r="A125" s="7" t="s">
        <v>978</v>
      </c>
      <c r="B125" s="8"/>
      <c r="C125" s="7" t="s">
        <v>767</v>
      </c>
      <c r="D125" s="7" t="s">
        <v>768</v>
      </c>
      <c r="E125" s="12" t="n">
        <v>1</v>
      </c>
    </row>
    <row r="126" customFormat="false" ht="24" hidden="false" customHeight="true" outlineLevel="0" collapsed="false">
      <c r="A126" s="15" t="s">
        <v>978</v>
      </c>
      <c r="B126" s="17"/>
      <c r="C126" s="15" t="s">
        <v>581</v>
      </c>
      <c r="D126" s="15" t="s">
        <v>582</v>
      </c>
      <c r="E126" s="14" t="n">
        <v>1</v>
      </c>
    </row>
    <row r="127" customFormat="false" ht="24" hidden="false" customHeight="true" outlineLevel="0" collapsed="false">
      <c r="A127" s="7" t="s">
        <v>978</v>
      </c>
      <c r="B127" s="7" t="s">
        <v>293</v>
      </c>
      <c r="C127" s="7" t="s">
        <v>294</v>
      </c>
      <c r="D127" s="7" t="s">
        <v>295</v>
      </c>
      <c r="E127" s="12" t="n">
        <v>1</v>
      </c>
    </row>
    <row r="128" customFormat="false" ht="24" hidden="false" customHeight="true" outlineLevel="0" collapsed="false">
      <c r="A128" s="15" t="s">
        <v>978</v>
      </c>
      <c r="B128" s="17"/>
      <c r="C128" s="15" t="s">
        <v>523</v>
      </c>
      <c r="D128" s="15" t="s">
        <v>524</v>
      </c>
      <c r="E128" s="14" t="n">
        <v>1</v>
      </c>
    </row>
    <row r="129" customFormat="false" ht="24" hidden="false" customHeight="true" outlineLevel="0" collapsed="false">
      <c r="A129" s="7" t="s">
        <v>978</v>
      </c>
      <c r="B129" s="8"/>
      <c r="C129" s="7" t="s">
        <v>299</v>
      </c>
      <c r="D129" s="7" t="s">
        <v>300</v>
      </c>
      <c r="E129" s="12" t="n">
        <v>1</v>
      </c>
    </row>
    <row r="130" customFormat="false" ht="24" hidden="false" customHeight="true" outlineLevel="0" collapsed="false">
      <c r="A130" s="15" t="s">
        <v>978</v>
      </c>
      <c r="B130" s="15" t="s">
        <v>219</v>
      </c>
      <c r="C130" s="15" t="s">
        <v>510</v>
      </c>
      <c r="D130" s="15" t="s">
        <v>511</v>
      </c>
      <c r="E130" s="14" t="n">
        <v>1</v>
      </c>
    </row>
    <row r="131" customFormat="false" ht="24" hidden="false" customHeight="true" outlineLevel="0" collapsed="false">
      <c r="A131" s="7" t="s">
        <v>978</v>
      </c>
      <c r="B131" s="8"/>
      <c r="C131" s="7" t="s">
        <v>308</v>
      </c>
      <c r="D131" s="7" t="s">
        <v>309</v>
      </c>
      <c r="E131" s="12" t="n">
        <v>1</v>
      </c>
    </row>
    <row r="132" customFormat="false" ht="24" hidden="false" customHeight="true" outlineLevel="0" collapsed="false">
      <c r="A132" s="15" t="s">
        <v>978</v>
      </c>
      <c r="B132" s="17"/>
      <c r="C132" s="15" t="s">
        <v>476</v>
      </c>
      <c r="D132" s="15" t="s">
        <v>477</v>
      </c>
      <c r="E132" s="14" t="n">
        <v>1</v>
      </c>
    </row>
    <row r="133" customFormat="false" ht="24" hidden="false" customHeight="true" outlineLevel="0" collapsed="false">
      <c r="A133" s="7" t="s">
        <v>978</v>
      </c>
      <c r="B133" s="8"/>
      <c r="C133" s="7" t="s">
        <v>697</v>
      </c>
      <c r="D133" s="7" t="s">
        <v>698</v>
      </c>
      <c r="E133" s="12" t="n">
        <v>1</v>
      </c>
    </row>
    <row r="134" customFormat="false" ht="24" hidden="false" customHeight="true" outlineLevel="0" collapsed="false">
      <c r="A134" s="15" t="s">
        <v>978</v>
      </c>
      <c r="B134" s="17"/>
      <c r="C134" s="15" t="s">
        <v>532</v>
      </c>
      <c r="D134" s="15" t="s">
        <v>533</v>
      </c>
      <c r="E134" s="14" t="n">
        <v>1</v>
      </c>
    </row>
    <row r="135" customFormat="false" ht="24" hidden="false" customHeight="true" outlineLevel="0" collapsed="false">
      <c r="A135" s="7" t="s">
        <v>978</v>
      </c>
      <c r="B135" s="8"/>
      <c r="C135" s="7" t="s">
        <v>323</v>
      </c>
      <c r="D135" s="7" t="s">
        <v>324</v>
      </c>
      <c r="E135" s="12" t="n">
        <v>1</v>
      </c>
    </row>
    <row r="136" customFormat="false" ht="24" hidden="false" customHeight="true" outlineLevel="0" collapsed="false">
      <c r="A136" s="15" t="s">
        <v>978</v>
      </c>
      <c r="B136" s="17"/>
      <c r="C136" s="15" t="s">
        <v>323</v>
      </c>
      <c r="D136" s="15" t="s">
        <v>515</v>
      </c>
      <c r="E136" s="14" t="n">
        <v>1</v>
      </c>
    </row>
    <row r="137" customFormat="false" ht="24" hidden="false" customHeight="true" outlineLevel="0" collapsed="false">
      <c r="A137" s="7" t="s">
        <v>978</v>
      </c>
      <c r="B137" s="8"/>
      <c r="C137" s="7" t="s">
        <v>220</v>
      </c>
      <c r="D137" s="7" t="s">
        <v>221</v>
      </c>
      <c r="E137" s="12" t="n">
        <v>1</v>
      </c>
    </row>
    <row r="138" customFormat="false" ht="24" hidden="false" customHeight="true" outlineLevel="0" collapsed="false">
      <c r="A138" s="15" t="s">
        <v>978</v>
      </c>
      <c r="B138" s="15" t="s">
        <v>386</v>
      </c>
      <c r="C138" s="15" t="s">
        <v>869</v>
      </c>
      <c r="D138" s="15" t="s">
        <v>870</v>
      </c>
      <c r="E138" s="14" t="n">
        <v>1</v>
      </c>
    </row>
    <row r="139" customFormat="false" ht="24" hidden="false" customHeight="true" outlineLevel="0" collapsed="false">
      <c r="A139" s="7" t="s">
        <v>978</v>
      </c>
      <c r="B139" s="8"/>
      <c r="C139" s="7" t="s">
        <v>642</v>
      </c>
      <c r="D139" s="7" t="s">
        <v>643</v>
      </c>
      <c r="E139" s="12" t="n">
        <v>1</v>
      </c>
    </row>
    <row r="140" customFormat="false" ht="24" hidden="false" customHeight="true" outlineLevel="0" collapsed="false">
      <c r="A140" s="15" t="s">
        <v>978</v>
      </c>
      <c r="B140" s="17"/>
      <c r="C140" s="15" t="s">
        <v>387</v>
      </c>
      <c r="D140" s="15" t="s">
        <v>388</v>
      </c>
      <c r="E140" s="14" t="n">
        <v>1</v>
      </c>
    </row>
    <row r="141" customFormat="false" ht="24" hidden="false" customHeight="true" outlineLevel="0" collapsed="false">
      <c r="A141" s="7" t="s">
        <v>978</v>
      </c>
      <c r="B141" s="8"/>
      <c r="C141" s="7" t="s">
        <v>776</v>
      </c>
      <c r="D141" s="7" t="s">
        <v>777</v>
      </c>
      <c r="E141" s="12" t="n">
        <v>1</v>
      </c>
    </row>
    <row r="142" customFormat="false" ht="24" hidden="false" customHeight="true" outlineLevel="0" collapsed="false">
      <c r="A142" s="15" t="s">
        <v>978</v>
      </c>
      <c r="B142" s="15" t="s">
        <v>365</v>
      </c>
      <c r="C142" s="15" t="s">
        <v>947</v>
      </c>
      <c r="D142" s="15" t="s">
        <v>948</v>
      </c>
      <c r="E142" s="14" t="n">
        <v>1</v>
      </c>
    </row>
    <row r="143" customFormat="false" ht="24" hidden="false" customHeight="true" outlineLevel="0" collapsed="false">
      <c r="A143" s="7" t="s">
        <v>978</v>
      </c>
      <c r="B143" s="8"/>
      <c r="C143" s="7" t="s">
        <v>366</v>
      </c>
      <c r="D143" s="7" t="s">
        <v>367</v>
      </c>
      <c r="E143" s="12" t="n">
        <v>1</v>
      </c>
    </row>
    <row r="144" customFormat="false" ht="24" hidden="false" customHeight="true" outlineLevel="0" collapsed="false">
      <c r="A144" s="15" t="s">
        <v>978</v>
      </c>
      <c r="B144" s="17"/>
      <c r="C144" s="15" t="s">
        <v>662</v>
      </c>
      <c r="D144" s="15" t="s">
        <v>744</v>
      </c>
      <c r="E144" s="14" t="n">
        <v>1</v>
      </c>
    </row>
    <row r="145" customFormat="false" ht="24" hidden="false" customHeight="true" outlineLevel="0" collapsed="false">
      <c r="A145" s="7" t="s">
        <v>978</v>
      </c>
      <c r="B145" s="8"/>
      <c r="C145" s="7" t="s">
        <v>692</v>
      </c>
      <c r="D145" s="7" t="s">
        <v>693</v>
      </c>
      <c r="E145" s="12" t="n">
        <v>1</v>
      </c>
    </row>
    <row r="146" customFormat="false" ht="24" hidden="false" customHeight="true" outlineLevel="0" collapsed="false">
      <c r="A146" s="15" t="s">
        <v>978</v>
      </c>
      <c r="B146" s="17"/>
      <c r="C146" s="15" t="s">
        <v>481</v>
      </c>
      <c r="D146" s="15" t="s">
        <v>943</v>
      </c>
      <c r="E146" s="14" t="n">
        <v>1</v>
      </c>
    </row>
    <row r="147" customFormat="false" ht="24" hidden="false" customHeight="true" outlineLevel="0" collapsed="false">
      <c r="A147" s="7" t="s">
        <v>978</v>
      </c>
      <c r="B147" s="8"/>
      <c r="C147" s="7" t="s">
        <v>481</v>
      </c>
      <c r="D147" s="7" t="s">
        <v>916</v>
      </c>
      <c r="E147" s="12" t="n">
        <v>1</v>
      </c>
    </row>
    <row r="148" customFormat="false" ht="24" hidden="false" customHeight="true" outlineLevel="0" collapsed="false">
      <c r="A148" s="15" t="s">
        <v>978</v>
      </c>
      <c r="B148" s="17"/>
      <c r="C148" s="15" t="s">
        <v>930</v>
      </c>
      <c r="D148" s="15" t="s">
        <v>931</v>
      </c>
      <c r="E148" s="14" t="n">
        <v>1</v>
      </c>
    </row>
    <row r="149" customFormat="false" ht="24" hidden="false" customHeight="true" outlineLevel="0" collapsed="false">
      <c r="A149" s="7" t="s">
        <v>978</v>
      </c>
      <c r="B149" s="8"/>
      <c r="C149" s="7" t="s">
        <v>860</v>
      </c>
      <c r="D149" s="7" t="s">
        <v>861</v>
      </c>
      <c r="E149" s="12" t="n">
        <v>1</v>
      </c>
    </row>
    <row r="150" customFormat="false" ht="24" hidden="false" customHeight="true" outlineLevel="0" collapsed="false">
      <c r="A150" s="15" t="s">
        <v>978</v>
      </c>
      <c r="B150" s="17"/>
      <c r="C150" s="15" t="s">
        <v>406</v>
      </c>
      <c r="D150" s="15" t="s">
        <v>407</v>
      </c>
      <c r="E150" s="14" t="n">
        <v>1</v>
      </c>
    </row>
    <row r="151" customFormat="false" ht="24" hidden="false" customHeight="true" outlineLevel="0" collapsed="false">
      <c r="A151" s="7" t="s">
        <v>978</v>
      </c>
      <c r="B151" s="8"/>
      <c r="C151" s="7" t="s">
        <v>406</v>
      </c>
      <c r="D151" s="7" t="s">
        <v>688</v>
      </c>
      <c r="E151" s="12" t="n">
        <v>1</v>
      </c>
    </row>
    <row r="152" customFormat="false" ht="24" hidden="false" customHeight="true" outlineLevel="0" collapsed="false">
      <c r="A152" s="15" t="s">
        <v>978</v>
      </c>
      <c r="B152" s="17"/>
      <c r="C152" s="15" t="s">
        <v>406</v>
      </c>
      <c r="D152" s="15" t="s">
        <v>846</v>
      </c>
      <c r="E152" s="14" t="n">
        <v>1</v>
      </c>
    </row>
    <row r="153" customFormat="false" ht="24" hidden="false" customHeight="true" outlineLevel="0" collapsed="false">
      <c r="A153" s="7" t="s">
        <v>978</v>
      </c>
      <c r="B153" s="8"/>
      <c r="C153" s="7" t="s">
        <v>461</v>
      </c>
      <c r="D153" s="7" t="s">
        <v>462</v>
      </c>
      <c r="E153" s="12" t="n">
        <v>4</v>
      </c>
    </row>
    <row r="154" customFormat="false" ht="24" hidden="false" customHeight="true" outlineLevel="0" collapsed="false">
      <c r="A154" s="15" t="s">
        <v>978</v>
      </c>
      <c r="B154" s="15" t="s">
        <v>132</v>
      </c>
      <c r="C154" s="15" t="s">
        <v>637</v>
      </c>
      <c r="D154" s="15" t="s">
        <v>638</v>
      </c>
      <c r="E154" s="14" t="n">
        <v>1</v>
      </c>
    </row>
    <row r="155" customFormat="false" ht="24" hidden="false" customHeight="true" outlineLevel="0" collapsed="false">
      <c r="A155" s="7" t="s">
        <v>978</v>
      </c>
      <c r="B155" s="8"/>
      <c r="C155" s="7" t="s">
        <v>392</v>
      </c>
      <c r="D155" s="7" t="s">
        <v>393</v>
      </c>
      <c r="E155" s="12" t="n">
        <v>1</v>
      </c>
    </row>
    <row r="156" customFormat="false" ht="24" hidden="false" customHeight="true" outlineLevel="0" collapsed="false">
      <c r="A156" s="15" t="s">
        <v>978</v>
      </c>
      <c r="B156" s="17"/>
      <c r="C156" s="15" t="s">
        <v>542</v>
      </c>
      <c r="D156" s="15" t="s">
        <v>543</v>
      </c>
      <c r="E156" s="14" t="n">
        <v>1</v>
      </c>
    </row>
    <row r="157" customFormat="false" ht="24" hidden="false" customHeight="true" outlineLevel="0" collapsed="false">
      <c r="A157" s="7" t="s">
        <v>978</v>
      </c>
      <c r="B157" s="8"/>
      <c r="C157" s="7" t="s">
        <v>133</v>
      </c>
      <c r="D157" s="7" t="s">
        <v>134</v>
      </c>
      <c r="E157" s="12" t="n">
        <v>1</v>
      </c>
    </row>
    <row r="158" customFormat="false" ht="24" hidden="false" customHeight="true" outlineLevel="0" collapsed="false">
      <c r="A158" s="15" t="s">
        <v>979</v>
      </c>
      <c r="B158" s="15" t="s">
        <v>105</v>
      </c>
      <c r="C158" s="15" t="s">
        <v>106</v>
      </c>
      <c r="D158" s="15" t="s">
        <v>237</v>
      </c>
      <c r="E158" s="14" t="n">
        <v>1</v>
      </c>
    </row>
    <row r="159" customFormat="false" ht="24" hidden="false" customHeight="true" outlineLevel="0" collapsed="false">
      <c r="A159" s="7" t="s">
        <v>979</v>
      </c>
      <c r="B159" s="8"/>
      <c r="C159" s="7" t="s">
        <v>106</v>
      </c>
      <c r="D159" s="7" t="s">
        <v>107</v>
      </c>
      <c r="E159" s="12" t="n">
        <v>1</v>
      </c>
    </row>
    <row r="160" customFormat="false" ht="24" hidden="false" customHeight="true" outlineLevel="0" collapsed="false">
      <c r="A160" s="15" t="s">
        <v>979</v>
      </c>
      <c r="B160" s="17"/>
      <c r="C160" s="15" t="s">
        <v>547</v>
      </c>
      <c r="D160" s="15" t="s">
        <v>548</v>
      </c>
      <c r="E160" s="14" t="n">
        <v>1</v>
      </c>
    </row>
    <row r="161" customFormat="false" ht="24" hidden="false" customHeight="true" outlineLevel="0" collapsed="false">
      <c r="A161" s="7" t="s">
        <v>979</v>
      </c>
      <c r="B161" s="8"/>
      <c r="C161" s="7" t="s">
        <v>111</v>
      </c>
      <c r="D161" s="7" t="s">
        <v>112</v>
      </c>
      <c r="E161" s="12" t="n">
        <v>1</v>
      </c>
    </row>
    <row r="162" customFormat="false" ht="24" hidden="false" customHeight="true" outlineLevel="0" collapsed="false">
      <c r="A162" s="15" t="s">
        <v>979</v>
      </c>
      <c r="B162" s="17"/>
      <c r="C162" s="15" t="s">
        <v>241</v>
      </c>
      <c r="D162" s="15" t="s">
        <v>242</v>
      </c>
      <c r="E162" s="14" t="n">
        <v>1</v>
      </c>
    </row>
    <row r="163" customFormat="false" ht="24" hidden="false" customHeight="true" outlineLevel="0" collapsed="false">
      <c r="A163" s="7" t="s">
        <v>979</v>
      </c>
      <c r="B163" s="8"/>
      <c r="C163" s="7" t="s">
        <v>328</v>
      </c>
      <c r="D163" s="7" t="s">
        <v>329</v>
      </c>
      <c r="E163" s="12" t="n">
        <v>1</v>
      </c>
    </row>
    <row r="164" customFormat="false" ht="24" hidden="false" customHeight="true" outlineLevel="0" collapsed="false">
      <c r="A164" s="15" t="s">
        <v>979</v>
      </c>
      <c r="B164" s="17"/>
      <c r="C164" s="15" t="s">
        <v>481</v>
      </c>
      <c r="D164" s="15" t="s">
        <v>482</v>
      </c>
      <c r="E164" s="14" t="n">
        <v>1</v>
      </c>
    </row>
    <row r="165" customFormat="false" ht="24" hidden="false" customHeight="true" outlineLevel="0" collapsed="false">
      <c r="A165" s="7" t="s">
        <v>979</v>
      </c>
      <c r="B165" s="8"/>
      <c r="C165" s="7" t="s">
        <v>318</v>
      </c>
      <c r="D165" s="7" t="s">
        <v>319</v>
      </c>
      <c r="E165" s="12" t="n">
        <v>1</v>
      </c>
    </row>
    <row r="166" customFormat="false" ht="24" hidden="false" customHeight="true" outlineLevel="0" collapsed="false">
      <c r="A166" s="15" t="s">
        <v>979</v>
      </c>
      <c r="B166" s="15" t="s">
        <v>100</v>
      </c>
      <c r="C166" s="15" t="s">
        <v>381</v>
      </c>
      <c r="D166" s="15" t="s">
        <v>382</v>
      </c>
      <c r="E166" s="14" t="n">
        <v>1</v>
      </c>
    </row>
    <row r="167" customFormat="false" ht="24" hidden="false" customHeight="true" outlineLevel="0" collapsed="false">
      <c r="A167" s="7" t="s">
        <v>979</v>
      </c>
      <c r="B167" s="8"/>
      <c r="C167" s="7" t="s">
        <v>95</v>
      </c>
      <c r="D167" s="7" t="s">
        <v>101</v>
      </c>
      <c r="E167" s="12" t="n">
        <v>1</v>
      </c>
    </row>
    <row r="168" customFormat="false" ht="24" hidden="false" customHeight="true" outlineLevel="0" collapsed="false">
      <c r="A168" s="15" t="s">
        <v>979</v>
      </c>
      <c r="B168" s="17"/>
      <c r="C168" s="15" t="s">
        <v>246</v>
      </c>
      <c r="D168" s="15" t="s">
        <v>247</v>
      </c>
      <c r="E168" s="14" t="n">
        <v>1</v>
      </c>
    </row>
    <row r="169" customFormat="false" ht="24" hidden="false" customHeight="true" outlineLevel="0" collapsed="false">
      <c r="A169" s="7" t="s">
        <v>980</v>
      </c>
      <c r="B169" s="7" t="s">
        <v>88</v>
      </c>
      <c r="C169" s="7" t="s">
        <v>570</v>
      </c>
      <c r="D169" s="7" t="s">
        <v>571</v>
      </c>
      <c r="E169" s="12" t="n">
        <v>1</v>
      </c>
    </row>
    <row r="170" customFormat="false" ht="24" hidden="false" customHeight="true" outlineLevel="0" collapsed="false">
      <c r="A170" s="15" t="s">
        <v>980</v>
      </c>
      <c r="B170" s="17"/>
      <c r="C170" s="15" t="s">
        <v>180</v>
      </c>
      <c r="D170" s="15" t="s">
        <v>181</v>
      </c>
      <c r="E170" s="14" t="n">
        <v>1</v>
      </c>
    </row>
    <row r="171" customFormat="false" ht="24" hidden="false" customHeight="true" outlineLevel="0" collapsed="false">
      <c r="A171" s="7" t="s">
        <v>980</v>
      </c>
      <c r="B171" s="8"/>
      <c r="C171" s="7" t="s">
        <v>89</v>
      </c>
      <c r="D171" s="7" t="s">
        <v>90</v>
      </c>
      <c r="E171" s="12" t="n">
        <v>1</v>
      </c>
    </row>
    <row r="172" customFormat="false" ht="24" hidden="false" customHeight="true" outlineLevel="0" collapsed="false">
      <c r="A172" s="15" t="s">
        <v>980</v>
      </c>
      <c r="B172" s="15" t="s">
        <v>185</v>
      </c>
      <c r="C172" s="15" t="s">
        <v>278</v>
      </c>
      <c r="D172" s="15" t="s">
        <v>279</v>
      </c>
      <c r="E172" s="14" t="n">
        <v>1</v>
      </c>
    </row>
    <row r="173" customFormat="false" ht="24" hidden="false" customHeight="true" outlineLevel="0" collapsed="false">
      <c r="A173" s="7" t="s">
        <v>980</v>
      </c>
      <c r="B173" s="8"/>
      <c r="C173" s="7" t="s">
        <v>186</v>
      </c>
      <c r="D173" s="7" t="s">
        <v>187</v>
      </c>
      <c r="E173" s="12" t="n">
        <v>1</v>
      </c>
    </row>
    <row r="174" customFormat="false" ht="24" hidden="false" customHeight="true" outlineLevel="0" collapsed="false">
      <c r="A174" s="15" t="s">
        <v>980</v>
      </c>
      <c r="B174" s="17"/>
      <c r="C174" s="15" t="s">
        <v>191</v>
      </c>
      <c r="D174" s="15" t="s">
        <v>192</v>
      </c>
      <c r="E174" s="14" t="n">
        <v>1</v>
      </c>
    </row>
    <row r="175" customFormat="false" ht="24" hidden="false" customHeight="true" outlineLevel="0" collapsed="false">
      <c r="A175" s="7" t="s">
        <v>980</v>
      </c>
      <c r="B175" s="8"/>
      <c r="C175" s="7" t="s">
        <v>575</v>
      </c>
      <c r="D175" s="7" t="s">
        <v>576</v>
      </c>
      <c r="E175" s="12" t="n">
        <v>1</v>
      </c>
    </row>
    <row r="176" customFormat="false" ht="24" hidden="false" customHeight="true" outlineLevel="0" collapsed="false">
      <c r="A176" s="15" t="s">
        <v>980</v>
      </c>
      <c r="B176" s="15" t="s">
        <v>225</v>
      </c>
      <c r="C176" s="15" t="s">
        <v>251</v>
      </c>
      <c r="D176" s="15" t="s">
        <v>252</v>
      </c>
      <c r="E176" s="14" t="n">
        <v>1</v>
      </c>
    </row>
    <row r="177" customFormat="false" ht="24" hidden="false" customHeight="true" outlineLevel="0" collapsed="false">
      <c r="A177" s="7" t="s">
        <v>980</v>
      </c>
      <c r="B177" s="8"/>
      <c r="C177" s="7" t="s">
        <v>313</v>
      </c>
      <c r="D177" s="7" t="s">
        <v>314</v>
      </c>
      <c r="E177" s="12" t="n">
        <v>1</v>
      </c>
    </row>
    <row r="178" customFormat="false" ht="24" hidden="false" customHeight="true" outlineLevel="0" collapsed="false">
      <c r="A178" s="15" t="s">
        <v>980</v>
      </c>
      <c r="B178" s="17"/>
      <c r="C178" s="15" t="s">
        <v>226</v>
      </c>
      <c r="D178" s="15" t="s">
        <v>227</v>
      </c>
      <c r="E178" s="14" t="n">
        <v>1</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2026-09-10T01:22:40Z</dcterms:created>
  <dc:creator>openpyxl</dc:creator>
  <dc:description/>
  <dc:language>en-US</dc:language>
  <cp:lastModifiedBy/>
  <dcterms:modified xsi:type="dcterms:W3CDTF">2026-09-10T01:22:41Z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